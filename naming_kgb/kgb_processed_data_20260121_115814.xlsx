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https://puprtes-my.sharepoint.com/personal/ramadhan_alchandra_yasrial_pu_go_id/Documents/PU/pu-code/scripts/naming_kgb/"/>
    </mc:Choice>
  </mc:AlternateContent>
  <xr:revisionPtr revIDLastSave="40" documentId="13_ncr:1_{E3A2F638-D05B-4151-B20F-F666A78B82A3}" xr6:coauthVersionLast="47" xr6:coauthVersionMax="47" xr10:uidLastSave="{302AD73A-164E-4053-8A8A-F96B6F048FD6}"/>
  <bookViews>
    <workbookView xWindow="-108" yWindow="-108" windowWidth="23256" windowHeight="12576" firstSheet="2" activeTab="4" xr2:uid="{00000000-000D-0000-FFFF-FFFF00000000}"/>
  </bookViews>
  <sheets>
    <sheet name="PNS" sheetId="1" r:id="rId1"/>
    <sheet name="PNS DONE (2)" sheetId="7" r:id="rId2"/>
    <sheet name="Sheet4" sheetId="10" r:id="rId3"/>
    <sheet name="Sheet2" sheetId="8" r:id="rId4"/>
    <sheet name="PPPK DONE" sheetId="11" r:id="rId5"/>
    <sheet name="PNS DONE" sheetId="6" r:id="rId6"/>
    <sheet name="PPPK" sheetId="2" r:id="rId7"/>
    <sheet name="Summary_by_Status" sheetId="3" r:id="rId8"/>
    <sheet name="Summary_by_Pejabat" sheetId="4" r:id="rId9"/>
    <sheet name="Summary_by_Unit" sheetId="5" r:id="rId10"/>
  </sheets>
  <definedNames>
    <definedName name="_xlnm._FilterDatabase" localSheetId="0" hidden="1">PNS!$A$1:$AX$73</definedName>
    <definedName name="_xlnm._FilterDatabase" localSheetId="5" hidden="1">'PNS DONE'!$A$1:$AX$18</definedName>
    <definedName name="_xlnm._FilterDatabase" localSheetId="1" hidden="1">'PNS DONE (2)'!$B$1:$AY$56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2" l="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3" i="2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2" i="7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L2" i="6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" i="1"/>
</calcChain>
</file>

<file path=xl/sharedStrings.xml><?xml version="1.0" encoding="utf-8"?>
<sst xmlns="http://schemas.openxmlformats.org/spreadsheetml/2006/main" count="9498" uniqueCount="1074">
  <si>
    <t>nama</t>
  </si>
  <si>
    <t>nip</t>
  </si>
  <si>
    <t>pangkat</t>
  </si>
  <si>
    <t>golongan</t>
  </si>
  <si>
    <t>jabatan</t>
  </si>
  <si>
    <t>unit_kerja</t>
  </si>
  <si>
    <t>masa_kerja_tahun</t>
  </si>
  <si>
    <t>masa_kerja_bulan</t>
  </si>
  <si>
    <t>tanggal_surat</t>
  </si>
  <si>
    <t>nomor_surat</t>
  </si>
  <si>
    <t>panggilan</t>
  </si>
  <si>
    <t>tembusan</t>
  </si>
  <si>
    <t>gaji_pokok_terakhir_gaji</t>
  </si>
  <si>
    <t>gaji_pokok_terakhir_gaji_terbilang</t>
  </si>
  <si>
    <t>gaji_pokok_terakhir_pejabat_penandatangan</t>
  </si>
  <si>
    <t>gaji_pokok_terakhir_no_sk</t>
  </si>
  <si>
    <t>gaji_pokok_terakhir_tanggal_sk</t>
  </si>
  <si>
    <t>gaji_pokok_terakhir_tanggal_berlaku</t>
  </si>
  <si>
    <t>gaji_pokok_terakhir_masa_kerja_tahun</t>
  </si>
  <si>
    <t>gaji_pokok_terakhir_masa_kerja_bulan</t>
  </si>
  <si>
    <t>pangkat_terakhir_gaji</t>
  </si>
  <si>
    <t>pangkat_terakhir_gaji_terbilang</t>
  </si>
  <si>
    <t>pangkat_terakhir_no_sk</t>
  </si>
  <si>
    <t>pangkat_terakhir_tanggal_sk</t>
  </si>
  <si>
    <t>pangkat_teakhir_tanggal_mulai</t>
  </si>
  <si>
    <t>pangkat_terakhir_masa_kerja_tahun</t>
  </si>
  <si>
    <t>pangkat_terakhir_masa_kerja_bulan</t>
  </si>
  <si>
    <t>baru_gaji</t>
  </si>
  <si>
    <t>baru_gaji_terbilang</t>
  </si>
  <si>
    <t>baru_masa_kerja_tahun</t>
  </si>
  <si>
    <t>baru_masa_kerja_bulan</t>
  </si>
  <si>
    <t>baru_mulai_tanggal</t>
  </si>
  <si>
    <t>baru_jabatan_pejabat_penandatangan</t>
  </si>
  <si>
    <t>baru_nama_pejabat_penandatangan</t>
  </si>
  <si>
    <t>baru_nip_pejabat_penandatangan</t>
  </si>
  <si>
    <t>status</t>
  </si>
  <si>
    <t>acuan_terakhir_masa_kerja_tahun</t>
  </si>
  <si>
    <t>acuan_terakhir_masa_kerja_bulan</t>
  </si>
  <si>
    <t>acuan_terakhir_tanggal_mulai</t>
  </si>
  <si>
    <t>acuan_terakhir_tanggal_sk</t>
  </si>
  <si>
    <t>acuan_terakhir_gaji_terbilang</t>
  </si>
  <si>
    <t>acuan_terakhir</t>
  </si>
  <si>
    <t>acuan_terakhir_no_sk</t>
  </si>
  <si>
    <t>acuan_terakhir_gaji</t>
  </si>
  <si>
    <t>acuan_terakhir_pejabat_penandatangan</t>
  </si>
  <si>
    <t>acuan_terakhir_selisih_masa_kerja_tahun</t>
  </si>
  <si>
    <t>Satuan Kerja Pelaksanaan Prasarana Strategis Jawa Tengah</t>
  </si>
  <si>
    <t>Januari 2026</t>
  </si>
  <si>
    <t>Sdr.</t>
  </si>
  <si>
    <t>Kepala Satuan Kerja Pelaksanaan Prasarana Strategis Jawa Tengah</t>
  </si>
  <si>
    <t>2024-03-01</t>
  </si>
  <si>
    <t>2022-03-31</t>
  </si>
  <si>
    <t>2022-04-01</t>
  </si>
  <si>
    <t>2026-03-01</t>
  </si>
  <si>
    <t>Kepala Bagian Kepegawaian dan Umum</t>
  </si>
  <si>
    <t>Agus Dwi Praptana</t>
  </si>
  <si>
    <t>PNS</t>
  </si>
  <si>
    <t>Gaji Pokok (2024-03-01)</t>
  </si>
  <si>
    <t>Gede Oka Wiranatha, S.T., M.Sc.</t>
  </si>
  <si>
    <t>199203102018031001</t>
  </si>
  <si>
    <t>Penata</t>
  </si>
  <si>
    <t>III/c</t>
  </si>
  <si>
    <t>Penata Kelola Bangunan Gedung dan Kawasan Permukiman Ahli Muda</t>
  </si>
  <si>
    <t>Direktorat Sistem dan Strategi Penyelenggaraan Prasarana Strategis</t>
  </si>
  <si>
    <t>KP0605/B/Gs/2026/</t>
  </si>
  <si>
    <t>Direktur Sistem dan Strategi Penyelenggaraan Prasarana Strategis</t>
  </si>
  <si>
    <t>Tiga Juta Tiga Ratus Dua Puluh Satu Ribu Empat Ratus Rupiah</t>
  </si>
  <si>
    <t>Migrasi Proses KP SIASN</t>
  </si>
  <si>
    <t>3290/KPTS/SP/B/2024</t>
  </si>
  <si>
    <t>2024-11-08</t>
  </si>
  <si>
    <t>2024-12-01</t>
  </si>
  <si>
    <t>Tiga Juta Empat Ratus Dua Puluh Enam Ribu Rupiah</t>
  </si>
  <si>
    <t>Sekretaris Direktorat Jenderal Prasarana Strategis</t>
  </si>
  <si>
    <t>Essy Asiah</t>
  </si>
  <si>
    <t>196605181993032002</t>
  </si>
  <si>
    <t>Gaji Pokok - Pangkat (2024-12-01)</t>
  </si>
  <si>
    <t>Febrianda Damayanti, S.T.</t>
  </si>
  <si>
    <t>199702212022032012</t>
  </si>
  <si>
    <t>Penata Muda</t>
  </si>
  <si>
    <t>III/a</t>
  </si>
  <si>
    <t>Penata Kelola Bangunan Gedung dan Kawasan Permukiman Ahli Pertama</t>
  </si>
  <si>
    <t>Sdri.</t>
  </si>
  <si>
    <t>Dua Juta Delapan Ratus Tujuh Puluh Tiga Ribu Lima Ratus Rupiah</t>
  </si>
  <si>
    <t>Sekretaris Direktorat Jenderal Cipta Karya</t>
  </si>
  <si>
    <t>KP.06.05-Cs/522.10</t>
  </si>
  <si>
    <t>2024-03-19</t>
  </si>
  <si>
    <t>Dua Juta Lima Ratus Tujuh Puluh Sembilan Ribu Empat Ratus Rupiah</t>
  </si>
  <si>
    <t>0641/KPTS/SP/C/2023</t>
  </si>
  <si>
    <t>2023-02-28</t>
  </si>
  <si>
    <t>2023-03-01</t>
  </si>
  <si>
    <t>Dua Juta Sembilan Ratus Enam Puluh Empat Ribu Rupiah</t>
  </si>
  <si>
    <t>Muhammad Wahyudi Fortuna, S.T.</t>
  </si>
  <si>
    <t>199807282022031005</t>
  </si>
  <si>
    <t>Penata Kelola Jalan dan Jembatan Ahli Pertama</t>
  </si>
  <si>
    <t>migrasi</t>
  </si>
  <si>
    <t>0482/KPTS/SP/C/2023</t>
  </si>
  <si>
    <t>Gaji Pokok - Pangkat (2023-03-01)</t>
  </si>
  <si>
    <t>Felicia Tasmica Izzatudina, S.T.</t>
  </si>
  <si>
    <t>199803182022032011</t>
  </si>
  <si>
    <t>Direktorat Infrastruktur Dukungan Pendidikan</t>
  </si>
  <si>
    <t>Direktur Infrastruktur Dukungan Pendidikan</t>
  </si>
  <si>
    <t>KP.06.05-Cs/522.51</t>
  </si>
  <si>
    <t>0642/KPTS/SP/C/2023</t>
  </si>
  <si>
    <t>Gandhes Faizah Ramadhani, S.T.</t>
  </si>
  <si>
    <t>199701282022032012</t>
  </si>
  <si>
    <t>KP.06.05-Cs/931.5</t>
  </si>
  <si>
    <t>2024-05-17</t>
  </si>
  <si>
    <t>0646/KPTS/SP/C/2023</t>
  </si>
  <si>
    <t>I Nengah Gandi Wirotama, S.T.</t>
  </si>
  <si>
    <t>199611012022031009</t>
  </si>
  <si>
    <t>KP.06.05-Cs/727.9</t>
  </si>
  <si>
    <t>2024-04-22</t>
  </si>
  <si>
    <t>0660/KPTS/SP/C/2023</t>
  </si>
  <si>
    <t>I Putu Eka Darmawan, S.T.</t>
  </si>
  <si>
    <t>199607122022031005</t>
  </si>
  <si>
    <t>KP.06.05-Cs/727.7</t>
  </si>
  <si>
    <t>0661/KPTS/SP/C/2023</t>
  </si>
  <si>
    <t>Isna Saadah, S.Tr.T</t>
  </si>
  <si>
    <t>199810022022032007</t>
  </si>
  <si>
    <t>Sesditjen Cipta Karya</t>
  </si>
  <si>
    <t>KP.06.05-Cs/953.16</t>
  </si>
  <si>
    <t>0667/KPTS/SP/C/2023</t>
  </si>
  <si>
    <t>Muhammad Hafiz Ratu Agung, S.T.</t>
  </si>
  <si>
    <t>199805132022031009</t>
  </si>
  <si>
    <t>KP.06.05-Cs/727.13</t>
  </si>
  <si>
    <t>0717/KPTS/SP/C/2023</t>
  </si>
  <si>
    <t>Ni Made Ayu Wulandari, S.T.</t>
  </si>
  <si>
    <t>199608152022032011</t>
  </si>
  <si>
    <t>KP.06.05-Cs/639.16</t>
  </si>
  <si>
    <t>2024-03-28</t>
  </si>
  <si>
    <t>0731/KPTS/SP/C/2023</t>
  </si>
  <si>
    <t>Rizal Dimas Aprelihandro, S.T.</t>
  </si>
  <si>
    <t>199504172022031007</t>
  </si>
  <si>
    <t>KP.06.05-Cs/727.6</t>
  </si>
  <si>
    <t>0767/KPTS/SP/C/2023</t>
  </si>
  <si>
    <t>Dinar Wicaksono, S.T.</t>
  </si>
  <si>
    <t>199612162022031007</t>
  </si>
  <si>
    <t>Direktorat Infrastruktur Dukungan Perekonomian, Peribadatan, Kesehatan, Olahraga dan Sosial Budaya</t>
  </si>
  <si>
    <t>Direktur Infrastruktur Dukungan Perekonomian, Peribadatan, Kesehatan, Olahraga dan Sosial Budaya</t>
  </si>
  <si>
    <t>KP.06.05-Cs/727.10</t>
  </si>
  <si>
    <t>0620/KPTS/SP/C/2023</t>
  </si>
  <si>
    <t>I.P. Inrawan Tangkas, S.T.</t>
  </si>
  <si>
    <t>199702172022031005</t>
  </si>
  <si>
    <t>KP.06.05-Cs/727.11</t>
  </si>
  <si>
    <t>0662/KPTS/SP/C/2023</t>
  </si>
  <si>
    <t>Jhohanes Very Michael, S.Tr.T</t>
  </si>
  <si>
    <t>199811252022031007</t>
  </si>
  <si>
    <t>KP.06.05-Cs/727.14</t>
  </si>
  <si>
    <t>0670/KPTS/SP/C/2023</t>
  </si>
  <si>
    <t>Muhammad Gilang Indra, S.T.</t>
  </si>
  <si>
    <t>199511062022031004</t>
  </si>
  <si>
    <t>KP.06.05-Cs/639.31</t>
  </si>
  <si>
    <t>0714/KPTS/SP/C/2023</t>
  </si>
  <si>
    <t>Sintia Agustina, S.T.</t>
  </si>
  <si>
    <t>199808052022032013</t>
  </si>
  <si>
    <t>Sesditjen CK</t>
  </si>
  <si>
    <t>KP.06.05-Cs/523.10</t>
  </si>
  <si>
    <t>2024-04-01</t>
  </si>
  <si>
    <t>0786/KPTS/SP/C/2023</t>
  </si>
  <si>
    <t>Gaji Pokok (2024-04-01)</t>
  </si>
  <si>
    <t>Ricardo Pranata Sinuhaji, S.T.</t>
  </si>
  <si>
    <t>199603112022031006</t>
  </si>
  <si>
    <t>Direktorat Kepatuhan Intern</t>
  </si>
  <si>
    <t>Direktur Kepatuhan Intern</t>
  </si>
  <si>
    <t>KP.06.05-Cs/727.8</t>
  </si>
  <si>
    <t>0763/KPTS/SP/C/2023</t>
  </si>
  <si>
    <t>Dwike Adillah, S.T.</t>
  </si>
  <si>
    <t>199906042022032017</t>
  </si>
  <si>
    <t>Satuan Kerja Pelaksanaan Prasarana Strategis Aceh</t>
  </si>
  <si>
    <t>Kepala Satuan Kerja Pelaksanaan Prasarana Strategis Aceh</t>
  </si>
  <si>
    <t>KP.06.05-Cs/1163.40</t>
  </si>
  <si>
    <t>2024-06-20</t>
  </si>
  <si>
    <t>0625/KPTS/SP/C/2023</t>
  </si>
  <si>
    <t>Fahmi Amri, S.T.</t>
  </si>
  <si>
    <t>199312032022031005</t>
  </si>
  <si>
    <t>KP.06.05-Cs/1163.36</t>
  </si>
  <si>
    <t>0632/KPTS/SP/C/2023</t>
  </si>
  <si>
    <t>Muhammad Iqbal, S.T.</t>
  </si>
  <si>
    <t>199802242022031012</t>
  </si>
  <si>
    <t>KP.06.05-Cs/1163.38</t>
  </si>
  <si>
    <t>0719/KPTS/SP/C/2023</t>
  </si>
  <si>
    <t>Teuku Fajriansyah, S.T.</t>
  </si>
  <si>
    <t>199710072022031008</t>
  </si>
  <si>
    <t>KP.06.05-Cs/1163.37</t>
  </si>
  <si>
    <t>0799/KPTS/SP/C/2023</t>
  </si>
  <si>
    <t>Geofanny Dominica Sihaloho, S.T.</t>
  </si>
  <si>
    <t>199708082022032014</t>
  </si>
  <si>
    <t>Satuan Kerja Pelaksanaan Prasarana Strategis Sumatera Utara</t>
  </si>
  <si>
    <t>Kepala Satuan Kerja Pelaksanaan Prasarana Strategis Sumatera Utara</t>
  </si>
  <si>
    <t>KP.06.05-Cs/1248.13</t>
  </si>
  <si>
    <t>2024-07-05</t>
  </si>
  <si>
    <t>0650/KPTS/SP/C/2023</t>
  </si>
  <si>
    <t>Havid Suryo Husodo, S.T.</t>
  </si>
  <si>
    <t>199704222022031009</t>
  </si>
  <si>
    <t>sesditjen CK</t>
  </si>
  <si>
    <t>KP.06.05-Cs/923.15</t>
  </si>
  <si>
    <t>0656/KPTS/SP/2023</t>
  </si>
  <si>
    <t>Lili Purwati, S.T.</t>
  </si>
  <si>
    <t>199712162022032017</t>
  </si>
  <si>
    <t>KP.06.05-Cs/942.11</t>
  </si>
  <si>
    <t>0680/KPTS/SP/C/2023</t>
  </si>
  <si>
    <t>Rizky Deco Nugroho, S.T.</t>
  </si>
  <si>
    <t>199212242022031008</t>
  </si>
  <si>
    <t>KP.06.05-Cs/942.06</t>
  </si>
  <si>
    <t>0770/KPTS/SP/C/2023</t>
  </si>
  <si>
    <t>Stenly Jonathan Sitorus, S.Tr.T</t>
  </si>
  <si>
    <t>199710302022031004</t>
  </si>
  <si>
    <t>KP.06.05-Cs/942.05</t>
  </si>
  <si>
    <t>0790/KPTS/SP/C/2023</t>
  </si>
  <si>
    <t>Adi Rachmat Syahputra, S.T.</t>
  </si>
  <si>
    <t>199605112022031008</t>
  </si>
  <si>
    <t>Satuan Kerja Pelaksanaan Prasarana Strategis Sumatera Barat</t>
  </si>
  <si>
    <t>Kepala Satuan Kerja Pelaksanaan Prasarana Strategis Sumatera Barat</t>
  </si>
  <si>
    <t>Kp.06.05-Cs/942.12</t>
  </si>
  <si>
    <t>0573/KPTS/SP/C/2023</t>
  </si>
  <si>
    <t>Yendra Syafda, S.T.</t>
  </si>
  <si>
    <t>199809192022031006</t>
  </si>
  <si>
    <t>KP.06.05-Cs/942.10</t>
  </si>
  <si>
    <t>0806/KPTS/SP/C/2023</t>
  </si>
  <si>
    <t>Amsal Anwary, S.T.</t>
  </si>
  <si>
    <t>199803182022031005</t>
  </si>
  <si>
    <t>Pengelola Sumber Daya Air Ahli Pertama</t>
  </si>
  <si>
    <t>Satuan Kerja Pelaksanaan Prasarana Strategis Riau</t>
  </si>
  <si>
    <t>Kepala Satuan Kerja Pelaksanaan Prasarana Strategis Riau</t>
  </si>
  <si>
    <t>0076/KPTS/SP/C/2023</t>
  </si>
  <si>
    <t>Sarah Fadhila Kusnaedi, S.T.</t>
  </si>
  <si>
    <t>199703072022032014</t>
  </si>
  <si>
    <t>Pejabat Penguji SPM</t>
  </si>
  <si>
    <t>Satuan Kerja Pelaksanaan Prasarana Strategis Kepulauan Riau</t>
  </si>
  <si>
    <t>Kepala Satuan Kerja Pelaksanaan Prasarana Strategis Kepulauan Riau</t>
  </si>
  <si>
    <t>KP.06.5-Cs/1432.8</t>
  </si>
  <si>
    <t>2024-07-24</t>
  </si>
  <si>
    <t>0778/KPTS/SP/C/2023</t>
  </si>
  <si>
    <t>Fardinata, S.T.</t>
  </si>
  <si>
    <t>199707102022031009</t>
  </si>
  <si>
    <t>Satuan Kerja Pelaksanaan Prasarana Strategis Bengkulu</t>
  </si>
  <si>
    <t>Kepala Satuan Kerja Pelaksanaan Prasarana Strategis Bengkulu</t>
  </si>
  <si>
    <t>0636/KPTS/SP/C/2023</t>
  </si>
  <si>
    <t>2022-02-28</t>
  </si>
  <si>
    <t>M Ghifari, S.T.</t>
  </si>
  <si>
    <t>199709142022031006</t>
  </si>
  <si>
    <t>Satuan Kerja Pelaksanaan Prasarana Strategis Sumatera Selatan</t>
  </si>
  <si>
    <t>Kepala Satuan Kerja Pelaksanaan Prasarana Strategis Sumatera Selatan</t>
  </si>
  <si>
    <t>KP.06.05-Cs/1251.06</t>
  </si>
  <si>
    <t>0690/KPTS/SP/C/2023</t>
  </si>
  <si>
    <t>Nico Saputra, S.T.</t>
  </si>
  <si>
    <t>199712212022031004</t>
  </si>
  <si>
    <t>Penata Muda Tingkat I</t>
  </si>
  <si>
    <t>III/b</t>
  </si>
  <si>
    <t>Satuan Kerja Pelaksanaan Prasarana Strategis Kepulauan Bangka Belitung</t>
  </si>
  <si>
    <t>Kepala Satuan Kerja Pelaksanaan Prasarana Strategis Kepulauan Bangka Belitung</t>
  </si>
  <si>
    <t>Dua Juta Sembilan Ratus Sembilan Puluh Lima Ribu Rupiah</t>
  </si>
  <si>
    <t>1515/KPTS/M/2025</t>
  </si>
  <si>
    <t>2025-12-17</t>
  </si>
  <si>
    <t>2026-01-01</t>
  </si>
  <si>
    <t>Tiga Juta Delapan Puluh Sembilan Ribu Tiga Ratus Rupiah</t>
  </si>
  <si>
    <t>Gaji Pokok - Pangkat (2026-01-01)</t>
  </si>
  <si>
    <t>Muhammad Furqan Fadillah, S.T.</t>
  </si>
  <si>
    <t>199710132022031005</t>
  </si>
  <si>
    <t>Satuan Kerja Pelaksanaan Prasarana Strategis Lampung</t>
  </si>
  <si>
    <t>Kepala Satuan Kerja Pelaksanaan Prasarana Strategis Lampung</t>
  </si>
  <si>
    <t>KP.06.05-Cs/931.33</t>
  </si>
  <si>
    <t>0713/KPTS/SP/C/2023</t>
  </si>
  <si>
    <t>Sonya Tiara Aisyah, S.T.</t>
  </si>
  <si>
    <t>199607062022032014</t>
  </si>
  <si>
    <t>KP.06.05-Cs/432.31</t>
  </si>
  <si>
    <t>0789/KPTS/SP/C/2023</t>
  </si>
  <si>
    <t>Tb Andi Nurkalam, S.M.</t>
  </si>
  <si>
    <t>198004152014101001</t>
  </si>
  <si>
    <t>PETUGAS TEKNIK</t>
  </si>
  <si>
    <t>Satuan Kerja Pelaksanaan Prasarana Strategis Banten</t>
  </si>
  <si>
    <t>Kepala Satuan Kerja Pelaksanaan Prasarana Strategis Banten</t>
  </si>
  <si>
    <t>Tiga Juta Lima Ratus Tujuh Puluh Ribu Seratus  Rupiah</t>
  </si>
  <si>
    <t>KP.06.05-Cs/522.2</t>
  </si>
  <si>
    <t>Tiga Juta Dua Ratus Empat Ribu Tujuh Ratus Rupiah</t>
  </si>
  <si>
    <t>3583/KPTS/SP/B/2022</t>
  </si>
  <si>
    <t>2022-09-22</t>
  </si>
  <si>
    <t>2022-10-01</t>
  </si>
  <si>
    <t>Tiga Juta Enam Ratus Delapan Puluh Dua Ribu Lima Ratus Rupiah</t>
  </si>
  <si>
    <t>Nabil Muhammad, S.T.</t>
  </si>
  <si>
    <t>199412052018031001</t>
  </si>
  <si>
    <t>Pejabat Pembuat Komitmen Mandiri</t>
  </si>
  <si>
    <t>1233/KPTS/SP/B/2025</t>
  </si>
  <si>
    <t>2025-03-07</t>
  </si>
  <si>
    <t>2025-04-01</t>
  </si>
  <si>
    <t>Gaji Pokok - Pangkat (2025-04-01)</t>
  </si>
  <si>
    <t>Alexandrio De Pell Dos Reis, S.T.</t>
  </si>
  <si>
    <t>199410142022031006</t>
  </si>
  <si>
    <t>KP.06.05-Cs/1248.19</t>
  </si>
  <si>
    <t>0578/KPTS/SP/C/2023</t>
  </si>
  <si>
    <t>2023-03-28</t>
  </si>
  <si>
    <t>Muhammad Guntur Drajat, S.T.</t>
  </si>
  <si>
    <t>199812172022031008</t>
  </si>
  <si>
    <t>KP.06.05-Cs/1248.21</t>
  </si>
  <si>
    <t>0715/KPTS/SP/C/2023</t>
  </si>
  <si>
    <t>Nicolas Ananto Seno Widiatmoko, S.T.</t>
  </si>
  <si>
    <t>199105172022031009</t>
  </si>
  <si>
    <t>Satuan Kerja Pelaksanaan Prasarana Strategis Jawa Barat</t>
  </si>
  <si>
    <t>Kepala Satuan Kerja Pelaksanaan Prasarana Strategis Jawa Barat</t>
  </si>
  <si>
    <t>KP.06.05-Cs/522.20</t>
  </si>
  <si>
    <t>0734/KPTS/SP/C/2023</t>
  </si>
  <si>
    <t>Novi Dwi Lestari, S.T.</t>
  </si>
  <si>
    <t>199411162022032007</t>
  </si>
  <si>
    <t>KP.06.05-Cs/522.41</t>
  </si>
  <si>
    <t>0737/KPTS/SP/C/2023</t>
  </si>
  <si>
    <t>Eva Kumala Wikan Prasodjo, S.T.</t>
  </si>
  <si>
    <t>199804042022032016</t>
  </si>
  <si>
    <t>KP.06/05/134/XII/2024</t>
  </si>
  <si>
    <t>2024-10-04</t>
  </si>
  <si>
    <t>0386/KPTS/SP/C/2023</t>
  </si>
  <si>
    <t>Fruri Nuradim, S.T.</t>
  </si>
  <si>
    <t>199402142022031008</t>
  </si>
  <si>
    <t>KP.06.05-Cs/522.39</t>
  </si>
  <si>
    <t>0645/KPTS/SP/C/2023</t>
  </si>
  <si>
    <t>Ifon Robi Kurniadi, S.Tr.T</t>
  </si>
  <si>
    <t>199804282022031012</t>
  </si>
  <si>
    <t>KP.06.06-Cs/1432.7</t>
  </si>
  <si>
    <t>0663/KPTS/SP/C/2023</t>
  </si>
  <si>
    <t>Rizka Yuliani, S.T.</t>
  </si>
  <si>
    <t>199007292022032004</t>
  </si>
  <si>
    <t>KP.06.05-Cs/522.36</t>
  </si>
  <si>
    <t>0768/KPTS/SP/C/2023</t>
  </si>
  <si>
    <t>Zulaikha Putri Pertiwi, S.Tr.T</t>
  </si>
  <si>
    <t>199708122022032021</t>
  </si>
  <si>
    <t>KP.06.05-Cs/522.44</t>
  </si>
  <si>
    <t>0819/KPTS/SP/C/2023</t>
  </si>
  <si>
    <t>Yuniar Catur Putra Setia, S.T.</t>
  </si>
  <si>
    <t>199306182022031005</t>
  </si>
  <si>
    <t>Satuan Kerja Pelaksanaan Prasarana Strategis D.I. Yogyakarta</t>
  </si>
  <si>
    <t>Kepala Satuan Kerja Pelaksanaan Prasarana Strategis D.I. Yogyakarta</t>
  </si>
  <si>
    <t>KP.06.05-Cs/639.52</t>
  </si>
  <si>
    <t>0815/KPTS/SP/C/2023</t>
  </si>
  <si>
    <t>Andrean Wahyu Purbo Leksono, S.T.</t>
  </si>
  <si>
    <t>199506222022031014</t>
  </si>
  <si>
    <t>Satuan Kerja Pelaksanaan Prasarana Strategis Jawa Timur</t>
  </si>
  <si>
    <t>Kepala Satuan Kerja Pelaksanaan Prasarana Strategis Jawa Timur</t>
  </si>
  <si>
    <t>KP.06.05-Cs/522.58</t>
  </si>
  <si>
    <t>0582/KPTS/SP/C/2023</t>
  </si>
  <si>
    <t>Bagus Rahmad Hidayat, S.T.</t>
  </si>
  <si>
    <t>199609262022031012</t>
  </si>
  <si>
    <t>SETDITJEN</t>
  </si>
  <si>
    <t>KP.06.05-CS/443.2</t>
  </si>
  <si>
    <t>2024-02-29</t>
  </si>
  <si>
    <t>0601/KPTS/SP/C/2023</t>
  </si>
  <si>
    <t>Novin Agustina Nur Putri, S.ST.</t>
  </si>
  <si>
    <t>199608152022032017</t>
  </si>
  <si>
    <t>KP.06.05-Cs/522.59</t>
  </si>
  <si>
    <t>0738/KPTS/SP/C/2023</t>
  </si>
  <si>
    <t>Faizal Akbar Maulana, S.T.</t>
  </si>
  <si>
    <t>199702042022031011</t>
  </si>
  <si>
    <t>Satuan Kerja Pelaksanaan Prasarana Strategis Kalimantan Timur</t>
  </si>
  <si>
    <t>Kepala Satuan Kerja Pelaksanaan Prasarana Strategis Kalimantan Timur</t>
  </si>
  <si>
    <t>KP.06.05-Cs/639.60</t>
  </si>
  <si>
    <t>0634/KPTS/SP/C/2023</t>
  </si>
  <si>
    <t>Yuda Ariza Ferdian Dm, S.T.</t>
  </si>
  <si>
    <t>199304192022031004</t>
  </si>
  <si>
    <t>KP.06.05-Cs/639.50</t>
  </si>
  <si>
    <t>0813/KPTS/SP/C/2023</t>
  </si>
  <si>
    <t>Muhammad Ridhwan Clausthiawan, S.T.</t>
  </si>
  <si>
    <t>199301062022031011</t>
  </si>
  <si>
    <t>Satuan Kerja Pelaksanaan Prasarana Strategis Kalimantan Selatan</t>
  </si>
  <si>
    <t>Kepala Satuan Kerja Pelaksanaan Prasarana Strategis Kalimantan Selatan</t>
  </si>
  <si>
    <t>KP.06.05-Cs/639.14</t>
  </si>
  <si>
    <t>0721/KPTS/SP/C/2023</t>
  </si>
  <si>
    <t>Rama Adi Nugraha, S.T.</t>
  </si>
  <si>
    <t>199901152022031003</t>
  </si>
  <si>
    <t>KP.06.05-Cs/639.17</t>
  </si>
  <si>
    <t>0755/KPTS/SP/C/2023</t>
  </si>
  <si>
    <t>Raden Bagus Iqbal Rahmadianto, S.T.</t>
  </si>
  <si>
    <t>199806142022031006</t>
  </si>
  <si>
    <t>Satuan Kerja Pelaksanaan Prasarana Strategis Kalimantan Barat</t>
  </si>
  <si>
    <t>Kepala Satuan Kerja Pelaksanaan Prasarana Strategis Kalimantan Barat</t>
  </si>
  <si>
    <t>KP.06.05-Cs/639.7</t>
  </si>
  <si>
    <t>0757/KPTS/SP/C/2023</t>
  </si>
  <si>
    <t>Tutik Kusuma Wardani, S.S.T.</t>
  </si>
  <si>
    <t>199401012022032013</t>
  </si>
  <si>
    <t>KP.06.05-Cs/639.5</t>
  </si>
  <si>
    <t>0802/KPTS/SP/C/2023</t>
  </si>
  <si>
    <t>Yussandi Christria Adiprima, S.T.</t>
  </si>
  <si>
    <t>199706182022031009</t>
  </si>
  <si>
    <t>KP.06.05-Cs/639.6</t>
  </si>
  <si>
    <t>0817/KPTS/SP/C/2023</t>
  </si>
  <si>
    <t>Ragil Abdillah Fahim, S.Tr.T</t>
  </si>
  <si>
    <t>199805012022031006</t>
  </si>
  <si>
    <t>Bendahara</t>
  </si>
  <si>
    <t>Satuan Kerja Pelaksanaan Prasarana Strategis Kalimantan Utara</t>
  </si>
  <si>
    <t>Kepala Satuan Kerja Pelaksanaan Prasarana Strategis Kalimantan Utara</t>
  </si>
  <si>
    <t>KP.06.05-Cs/639.24</t>
  </si>
  <si>
    <t>0752/KPTS/SP/C/2023</t>
  </si>
  <si>
    <t>Ir. Oksa Eberly, S.T.</t>
  </si>
  <si>
    <t>199804212022031007</t>
  </si>
  <si>
    <t>Satuan Kerja Pelaksanaan Prasarana Strategis Kalimantan Tengah</t>
  </si>
  <si>
    <t>Kepala Satuan Kerja Pelaksanaan Prasarana Strategis Kalimantan Tengah</t>
  </si>
  <si>
    <t>KP.06.05-Cs/639.32</t>
  </si>
  <si>
    <t>0745/KPTS/SP/C/2023</t>
  </si>
  <si>
    <t>Eka Pawitra Suta, S.T.</t>
  </si>
  <si>
    <t>199801162022031011</t>
  </si>
  <si>
    <t>Satuan Kerja Pelaksanaan Prasarana Strategis Bali</t>
  </si>
  <si>
    <t>Kepala Satuan Kerja Pelaksanaan Prasarana Strategis Bali</t>
  </si>
  <si>
    <t>0626/KPTS/SP/C/2023</t>
  </si>
  <si>
    <t>Ni Putu Sintya Wira Pradnyani, S.T.</t>
  </si>
  <si>
    <t>199910282022032003</t>
  </si>
  <si>
    <t>KP.06.05-Cs/931.34</t>
  </si>
  <si>
    <t>0732/KPTS/SP/C/2023</t>
  </si>
  <si>
    <t>Bonardo Lumbanraja, S.T.</t>
  </si>
  <si>
    <t>199703212022031012</t>
  </si>
  <si>
    <t>Satuan Kerja Pelaksanaan Prasarana Strategis Nusa Tenggara Barat</t>
  </si>
  <si>
    <t>Kepala Satuan Kerja Pelaksanaan Prasarana Strategis Nusa Tenggara Barat</t>
  </si>
  <si>
    <t>KP.06.05-Cs/932.43</t>
  </si>
  <si>
    <t>0607/KPTS/SP/C/2023</t>
  </si>
  <si>
    <t>Ir. Istiadi Nugroho, S.T.</t>
  </si>
  <si>
    <t>198005202008031001</t>
  </si>
  <si>
    <t>Penata Tingkat I</t>
  </si>
  <si>
    <t>III/d</t>
  </si>
  <si>
    <t>Satuan Kerja Pelaksanaan Prasarana Strategis Nusa Tenggara Timur</t>
  </si>
  <si>
    <t>Kepala Satuan Kerja Pelaksanaan Prasarana Strategis Nusa Tenggara Timur</t>
  </si>
  <si>
    <t>Empat Juta Empat Puluh Dua Ribu Lima Ratus Rupiah</t>
  </si>
  <si>
    <t>KP.06.05-Cs/1248</t>
  </si>
  <si>
    <t>Tiga Juta Lima Ratus Delapan Belas Ribu Seratus  Rupiah</t>
  </si>
  <si>
    <t>0379/KPTS/SP/B/2020</t>
  </si>
  <si>
    <t>2020-03-18</t>
  </si>
  <si>
    <t>2020-04-01</t>
  </si>
  <si>
    <t>Empat Juta Seratus Enam Puluh Sembilan Ribu Sembilan Ratus Rupiah</t>
  </si>
  <si>
    <t>Elias Godelfridus Arman, S.T.</t>
  </si>
  <si>
    <t>199803242022031007</t>
  </si>
  <si>
    <t>KP.06.05-Cs/639.23</t>
  </si>
  <si>
    <t>0628/KPTS/SP/C/2023</t>
  </si>
  <si>
    <t>Novita Bertiani Ndeo, S.T.</t>
  </si>
  <si>
    <t>199511262022032010</t>
  </si>
  <si>
    <t>KP.06.05-Cs/1248.52</t>
  </si>
  <si>
    <t>0739/KPTS/SP/C/2023</t>
  </si>
  <si>
    <t>Kikit Olmus, S.T.</t>
  </si>
  <si>
    <t>198606052014031001</t>
  </si>
  <si>
    <t>Kepala Satker Mandiri</t>
  </si>
  <si>
    <t>Satuan Kerja Pelaksanaan Prasarana Strategis Sulawesi Barat</t>
  </si>
  <si>
    <t>Kepala Satuan Kerja Pelaksanaan Prasarana Strategis Sulawesi Barat</t>
  </si>
  <si>
    <t>Tiga Juta Lima Ratus Tiga Puluh Tiga Ribu Sembilan Ratus Rupiah</t>
  </si>
  <si>
    <t>KP.06.05-Cs/931.22</t>
  </si>
  <si>
    <t>Tiga Juta Seratus Tujuh Puluh Dua Ribu Tiga Ratus Rupiah</t>
  </si>
  <si>
    <t>0123/KPTS/SP/B/2022</t>
  </si>
  <si>
    <t>Tiga Juta Enam Ratus Empat Puluh Lima Ribu Dua Ratus Rupiah</t>
  </si>
  <si>
    <t>Ir. Lutfia Noer Kemalasari, S.Tr.T</t>
  </si>
  <si>
    <t>199710302022032024</t>
  </si>
  <si>
    <t>KP.06.05-Cs/931.23</t>
  </si>
  <si>
    <t>0687/KPTS/SP/C/2023</t>
  </si>
  <si>
    <t>Annisa Fitri Rangkuti, S.Tr.T</t>
  </si>
  <si>
    <t>199802052022032013</t>
  </si>
  <si>
    <t>Satuan Kerja Pelaksanaan Prasarana Strategis Gorontalo</t>
  </si>
  <si>
    <t>Kepala Satuan Kerja Pelaksanaan Prasarana Strategis Gorontalo</t>
  </si>
  <si>
    <t>KP.06.05-Cs/931.1</t>
  </si>
  <si>
    <t>0585/KPTS/SP/C/2023</t>
  </si>
  <si>
    <t>Syahril Ode, S.T.</t>
  </si>
  <si>
    <t>199710112022031005</t>
  </si>
  <si>
    <t>Satuan Kerja Pelaksanaan Prasarana Strategis Maluku</t>
  </si>
  <si>
    <t>Kepala Satuan Kerja Pelaksanaan Prasarana Strategis Maluku</t>
  </si>
  <si>
    <t>0795/KPTS/SP/C/2023</t>
  </si>
  <si>
    <t>Ariefani Nurhakim, S.T.</t>
  </si>
  <si>
    <t>199606142022031007</t>
  </si>
  <si>
    <t>Satuan Kerja Pelaksanaan Prasarana Strategis Papua Barat</t>
  </si>
  <si>
    <t>Kepala Satuan Kerja Pelaksanaan Prasarana Strategis Papua Barat</t>
  </si>
  <si>
    <t>KP.06.05-Cd/934.7</t>
  </si>
  <si>
    <t>0593/KPTS/SP/C/2023</t>
  </si>
  <si>
    <t>Dani Nurul Firdaus, S.T.</t>
  </si>
  <si>
    <t>199509142022031006</t>
  </si>
  <si>
    <t>KP.06.05-Gs/428</t>
  </si>
  <si>
    <t>2025-09-16</t>
  </si>
  <si>
    <t>2025-10-01</t>
  </si>
  <si>
    <t>0612/KPTS/SP/C/2023</t>
  </si>
  <si>
    <t>Gaji Pokok (2025-10-01)</t>
  </si>
  <si>
    <t>Yohanes Bagaskara Cahya Kusuma, S.Tr.T</t>
  </si>
  <si>
    <t>199810302022031005</t>
  </si>
  <si>
    <t>Tiga Juta Delapan Ratus Dua Puluh Satu Ribu Rupiah</t>
  </si>
  <si>
    <t>SEKRETARIS DIREKTORAT JENDERAL CIPTA KARYA</t>
  </si>
  <si>
    <t>KP.06.05-Cs/1007.5</t>
  </si>
  <si>
    <t>0809/KPTS/SP/C/2023</t>
  </si>
  <si>
    <t>Vivin Anggraini, A.Md.</t>
  </si>
  <si>
    <t>197608022024212002</t>
  </si>
  <si>
    <t>Terampil</t>
  </si>
  <si>
    <t>VII</t>
  </si>
  <si>
    <t>Arsiparis Terampil</t>
  </si>
  <si>
    <t>Sekretariat Direktorat Jenderal Prasarana Strategis</t>
  </si>
  <si>
    <t>Dua Juta Delapan Ratus Lima Puluh Delapan Ribu Delapan Ratus Rupiah</t>
  </si>
  <si>
    <t>744/KPTS/Cs/K/2024</t>
  </si>
  <si>
    <t>2024-02-28</t>
  </si>
  <si>
    <t>Dua Juta Sembilan Ratus Empat Puluh Delapan Ribu Delapan Ratus Rupiah</t>
  </si>
  <si>
    <t>PPPK</t>
  </si>
  <si>
    <t>Gaji Pokok - Pangkat (2024-03-01)</t>
  </si>
  <si>
    <t>Galih Fauzi Hikmatulloh, S.Kom.</t>
  </si>
  <si>
    <t>198901032024211010</t>
  </si>
  <si>
    <t>Mahir/Ahli Pertama</t>
  </si>
  <si>
    <t>IX</t>
  </si>
  <si>
    <t>Pranata Komputer Ahli Pertama</t>
  </si>
  <si>
    <t>Tiga Juta Dua Ratus Tiga Ribu Enam Ratus Rupiah</t>
  </si>
  <si>
    <t>035/KPTS/SP/K/2024</t>
  </si>
  <si>
    <t>Tiga Juta Tiga Ratus Empat Ribu Empat Ratus Rupiah</t>
  </si>
  <si>
    <t>Ilham Ubaidillah, S.E.</t>
  </si>
  <si>
    <t>199205022024211012</t>
  </si>
  <si>
    <t>Pengelola Pengadaan Barang/Jasa Ahli Pertama</t>
  </si>
  <si>
    <t>50/KPTS/Ks/K/2024</t>
  </si>
  <si>
    <t>Iva Parikhah, S.Kom.</t>
  </si>
  <si>
    <t>199206122024212023</t>
  </si>
  <si>
    <t>Analis Sumber Daya Manusia Aparatur Ahli Pertama</t>
  </si>
  <si>
    <t>14/KPTS/Ps/K/2024</t>
  </si>
  <si>
    <t>Sofia Krisnawati, S.E.</t>
  </si>
  <si>
    <t>197804192024212007</t>
  </si>
  <si>
    <t>Arsiparis Ahli Pertama</t>
  </si>
  <si>
    <t>741/KPTS/Cs/K/2024</t>
  </si>
  <si>
    <t>Bunga Adelia Surya Haryani, S.T.</t>
  </si>
  <si>
    <t>199804202024212017</t>
  </si>
  <si>
    <t>Perencana Ahli Pertama</t>
  </si>
  <si>
    <t>752/KPTS/Cs/K/2024</t>
  </si>
  <si>
    <t>Sinta Delia, S.Tr.T.</t>
  </si>
  <si>
    <t>199805202024212017</t>
  </si>
  <si>
    <t>512/KPTS/Cs/K/2024</t>
  </si>
  <si>
    <t>Yogi Tumpal Parluhutan, S.T.</t>
  </si>
  <si>
    <t>199007032024211008</t>
  </si>
  <si>
    <t>Penyelia/Ahli Muda</t>
  </si>
  <si>
    <t>XI</t>
  </si>
  <si>
    <t>Tiga Juta Empat Ratus Delapan Puluh Ribu Tiga Ratus Rupiah</t>
  </si>
  <si>
    <t>328/KPTS/Cs/K/2024</t>
  </si>
  <si>
    <t>Tiga Juta Lima Ratus Delapan Puluh Sembilan Ribu Sembilan Ratus Rupiah</t>
  </si>
  <si>
    <t>Agnes Christin Br Purba, S.T.</t>
  </si>
  <si>
    <t>199212202024212026</t>
  </si>
  <si>
    <t>325/KPTS/Cs/K/2024</t>
  </si>
  <si>
    <t>Alfathoha Seftihidayat, S.T.</t>
  </si>
  <si>
    <t>198309302024211005</t>
  </si>
  <si>
    <t>322/KPTS/Cs/K/2024</t>
  </si>
  <si>
    <t>Jhon Fendi, S.T.</t>
  </si>
  <si>
    <t>198311032024211001</t>
  </si>
  <si>
    <t>529/KPTS/Cs/K/2024</t>
  </si>
  <si>
    <t>David Pangasian M, A.Md.</t>
  </si>
  <si>
    <t>198408222024211002</t>
  </si>
  <si>
    <t>Penata Laksana Jalan dan Jembatan Terampil</t>
  </si>
  <si>
    <t>203/KPTS/Bs/K/2024</t>
  </si>
  <si>
    <t>Januarko Adi Wibowo, S.T.</t>
  </si>
  <si>
    <t>199901312024211003</t>
  </si>
  <si>
    <t>508/KPTS/Cs/K/2024</t>
  </si>
  <si>
    <t>Kevin George Guluda Magido, S.T.</t>
  </si>
  <si>
    <t>199103262024211007</t>
  </si>
  <si>
    <t>Pembina Jasa Konstruksi Ahli Pertama</t>
  </si>
  <si>
    <t>22/KPTS/Ps/K/2024</t>
  </si>
  <si>
    <t>Ono Mardiono, S.T.</t>
  </si>
  <si>
    <t>198004062024211002</t>
  </si>
  <si>
    <t>327/KPTS/Cs/K/2024</t>
  </si>
  <si>
    <t>Gideon Rizal Gardiawan, S.T.</t>
  </si>
  <si>
    <t>198503302024211001</t>
  </si>
  <si>
    <t>176/KPTS/AS/K/2024</t>
  </si>
  <si>
    <t>Nur Hikmah, S.T.</t>
  </si>
  <si>
    <t>199111192024212006</t>
  </si>
  <si>
    <t>619/KPTS/Cs/K/2024</t>
  </si>
  <si>
    <t>Yani Wulandari, S.T.</t>
  </si>
  <si>
    <t>199301032024212018</t>
  </si>
  <si>
    <t>507/KPTS/Cs/K/2024</t>
  </si>
  <si>
    <t>Ayu Keumala Sari, A.Md.</t>
  </si>
  <si>
    <t>198511162024212004</t>
  </si>
  <si>
    <t>075/KPTS/SP/K/2024</t>
  </si>
  <si>
    <t>Fakhrurrazi, A.Md.</t>
  </si>
  <si>
    <t>198407172024211002</t>
  </si>
  <si>
    <t>Penata Laksana Bangunan Gedung dan Kawasan Permukiman Terampil</t>
  </si>
  <si>
    <t>675/KPTS/Cs/K/2024</t>
  </si>
  <si>
    <t>M Novi Aulia, A.Md.</t>
  </si>
  <si>
    <t>198511202024211006</t>
  </si>
  <si>
    <t>673/KPTS/Cs/K/2024</t>
  </si>
  <si>
    <t>Alifa Annisa Amru, S.T.</t>
  </si>
  <si>
    <t>199901012024212003</t>
  </si>
  <si>
    <t>506/KPTS/Cs/K/2024</t>
  </si>
  <si>
    <t>Hafidh Daiyana, S.T.</t>
  </si>
  <si>
    <t>198703022024211004</t>
  </si>
  <si>
    <t>099/KPTS/AS/K/2024</t>
  </si>
  <si>
    <t>M Jada Rizqi, S.T.</t>
  </si>
  <si>
    <t>199601232024211006</t>
  </si>
  <si>
    <t>307/KPTS/Cs/K/2024</t>
  </si>
  <si>
    <t>Nurnadiya, S.T.</t>
  </si>
  <si>
    <t>198206272024212007</t>
  </si>
  <si>
    <t>505/KPTS/Cs/K/2024</t>
  </si>
  <si>
    <t>Zulhelmi, S.T.</t>
  </si>
  <si>
    <t>198705142024211004</t>
  </si>
  <si>
    <t>094/KPTS/AS/K/2024</t>
  </si>
  <si>
    <t>Agung Pratama, S.T.</t>
  </si>
  <si>
    <t>199212052024211003</t>
  </si>
  <si>
    <t>662/KPTS/Cs/K/2024</t>
  </si>
  <si>
    <t>Fachrur Rozi Aznal Lubis, S.T.</t>
  </si>
  <si>
    <t>199601022024211004</t>
  </si>
  <si>
    <t>659/KPTS/Cs/K/2024</t>
  </si>
  <si>
    <t>Firmansyah Syamsuddin, S.T.</t>
  </si>
  <si>
    <t>198901062024211004</t>
  </si>
  <si>
    <t>Penata Kelola Penyehatan Lingkungan Ahli Muda</t>
  </si>
  <si>
    <t>170/KPTS/Cs/K/2024</t>
  </si>
  <si>
    <t>Heri Aryanto, S.T.</t>
  </si>
  <si>
    <t>198307192024211005</t>
  </si>
  <si>
    <t>663/KPTS/Cs/K/2024</t>
  </si>
  <si>
    <t>M. Zharfan Rashif Nasution, S.T.</t>
  </si>
  <si>
    <t>199511252024211008</t>
  </si>
  <si>
    <t>491/KPTS/Cs/K/2024</t>
  </si>
  <si>
    <t>Ridho, S.T.</t>
  </si>
  <si>
    <t>199007062024211009</t>
  </si>
  <si>
    <t>486/KPTS/Cs/K/2024</t>
  </si>
  <si>
    <t>Nofrizal Tanjung, S.T.</t>
  </si>
  <si>
    <t>199111202024211007</t>
  </si>
  <si>
    <t>024/KPTS/Bs/K/2024</t>
  </si>
  <si>
    <t>Ruzy Rahma Putra, S.T.</t>
  </si>
  <si>
    <t>198605082024211003</t>
  </si>
  <si>
    <t>653/KPTS/Cs/K/2024</t>
  </si>
  <si>
    <t>Hendri Chandra Nata, A.Md.</t>
  </si>
  <si>
    <t>198001222024211004</t>
  </si>
  <si>
    <t>705/KPTS/Cs/K/2024</t>
  </si>
  <si>
    <t>Yoanda Adimas Putra, A.Md.</t>
  </si>
  <si>
    <t>199011252024211008</t>
  </si>
  <si>
    <t>704/KPTS/Cs/K/2024</t>
  </si>
  <si>
    <t>Asri Eco Yudistira, S.T.</t>
  </si>
  <si>
    <t>198709012024211001</t>
  </si>
  <si>
    <t>027/KPTS/Bs/K/2024</t>
  </si>
  <si>
    <t>Fitria Ramadiyaningsih, S.E.</t>
  </si>
  <si>
    <t>198605122024212002</t>
  </si>
  <si>
    <t>21/KPTS/Ks/K/2024</t>
  </si>
  <si>
    <t>Rachmat Saleh Harahap, S.T.</t>
  </si>
  <si>
    <t>199111172024211005</t>
  </si>
  <si>
    <t>407/KPTS/Cs/K/2024</t>
  </si>
  <si>
    <t>Rizal Enggeletti, S.T.</t>
  </si>
  <si>
    <t>199001072024211010</t>
  </si>
  <si>
    <t>402/KPTS/Cs/K/2024</t>
  </si>
  <si>
    <t>Santi Feronika, S.E.</t>
  </si>
  <si>
    <t>198608032024212013</t>
  </si>
  <si>
    <t>069/KPTS/SP/K/2024</t>
  </si>
  <si>
    <t>Adi Susanto, S.T.</t>
  </si>
  <si>
    <t>198609222024211005</t>
  </si>
  <si>
    <t>Satuan Kerja Pelaksanaan Prasarana Strategis Jambi</t>
  </si>
  <si>
    <t>Kepala Satuan Kerja Pelaksanaan Prasarana Strategis Jambi</t>
  </si>
  <si>
    <t>68/KPTS/Cs/K/2024</t>
  </si>
  <si>
    <t>Nasiran, S.T.</t>
  </si>
  <si>
    <t>197706012024211003</t>
  </si>
  <si>
    <t>339/KPTS/Cs/K/2024</t>
  </si>
  <si>
    <t>Vingka Apriliani, S.T.</t>
  </si>
  <si>
    <t>199604222024212019</t>
  </si>
  <si>
    <t>535/KPTS/Cs/K/2024</t>
  </si>
  <si>
    <t>Dedy Kurniawan, S.IP</t>
  </si>
  <si>
    <t>198705312024211003</t>
  </si>
  <si>
    <t>65/KPTS/Ks/K/2024</t>
  </si>
  <si>
    <t>Memoden Hariyadinata Praja, S.Si.</t>
  </si>
  <si>
    <t>198707102024211003</t>
  </si>
  <si>
    <t>Statistisi Ahli Pertama</t>
  </si>
  <si>
    <t>390/KPTS/Bs/K/2024</t>
  </si>
  <si>
    <t>Surya Ningrat, S.T.</t>
  </si>
  <si>
    <t>198002042024211003</t>
  </si>
  <si>
    <t>497/KPTS/Cs/K/2024</t>
  </si>
  <si>
    <t>Ramadhian Herganda, A.Md.</t>
  </si>
  <si>
    <t>198406132024211003</t>
  </si>
  <si>
    <t>729/KPTS/Cs/K/2024</t>
  </si>
  <si>
    <t>Shinta, A.Md.</t>
  </si>
  <si>
    <t>198809022024212008</t>
  </si>
  <si>
    <t>727/KPTS/Cs/K/2024</t>
  </si>
  <si>
    <t>Rosita Dewi, S.T.</t>
  </si>
  <si>
    <t>197907262024212001</t>
  </si>
  <si>
    <t>655/KPTS/Cs/K/2024</t>
  </si>
  <si>
    <t>Yogie Apriliadi, S.T.</t>
  </si>
  <si>
    <t>199204052024211012</t>
  </si>
  <si>
    <t>482/KPTS/Cs/K/2024</t>
  </si>
  <si>
    <t>Siska Ramanda Sari, S.M.</t>
  </si>
  <si>
    <t>198705112024212005</t>
  </si>
  <si>
    <t>013/KPTS/SP/K/2024</t>
  </si>
  <si>
    <t>Yondy Septian, S.T.</t>
  </si>
  <si>
    <t>198709072024211004</t>
  </si>
  <si>
    <t>401/KPTS/Cs/K/2024</t>
  </si>
  <si>
    <t>Kurniawanto, A.Md.</t>
  </si>
  <si>
    <t>198610172024211001</t>
  </si>
  <si>
    <t>Pranata Komputer Terampil</t>
  </si>
  <si>
    <t>387/KPTS/Bs/K/2024</t>
  </si>
  <si>
    <t>Dedy Kartono, S.T.</t>
  </si>
  <si>
    <t>198502012024211003</t>
  </si>
  <si>
    <t>410/KPTS/Cs/K/2024</t>
  </si>
  <si>
    <t>Devi Meilinda, S.E.</t>
  </si>
  <si>
    <t>199305062024212022</t>
  </si>
  <si>
    <t>Analis Kebijakan Ahli Pertama</t>
  </si>
  <si>
    <t>13/KPTS/Ps/K/2024</t>
  </si>
  <si>
    <t>Sofyan Hidayat, A.Md.</t>
  </si>
  <si>
    <t>198907052024211006</t>
  </si>
  <si>
    <t>718/KPTS/Cs/K/2024</t>
  </si>
  <si>
    <t>Andi Suanda, S.T.</t>
  </si>
  <si>
    <t>198302252024211004</t>
  </si>
  <si>
    <t>03/KPTS/Ps/K/2024</t>
  </si>
  <si>
    <t>Tubagus Firman Hudiya Erawan, S.E.</t>
  </si>
  <si>
    <t>199102252024211005</t>
  </si>
  <si>
    <t>58/KPTS/Ks/K/2024</t>
  </si>
  <si>
    <t>Yusep Depyudin, S.T.</t>
  </si>
  <si>
    <t>198912032024211007</t>
  </si>
  <si>
    <t>461/KPTS/Cs/K/2024</t>
  </si>
  <si>
    <t>Christina Lovianna Bakara, S.Ars.</t>
  </si>
  <si>
    <t>199608222024212011</t>
  </si>
  <si>
    <t>Satuan Kerja Pelaksanaan Prasarana Strategis Jakarta Metropolitan</t>
  </si>
  <si>
    <t>Kepala Satuan Kerja Pelaksanaan Prasarana Strategis Jakarta Metropolitan</t>
  </si>
  <si>
    <t>509/KPTS/Cs/K/2024</t>
  </si>
  <si>
    <t>Agung Arief Nugroho, S.Ars.</t>
  </si>
  <si>
    <t>199606252024211003</t>
  </si>
  <si>
    <t>344/KPTS/Cs/K/2024</t>
  </si>
  <si>
    <t>Alfi Cena Silvia Fuzna, S.T.</t>
  </si>
  <si>
    <t>199303152024212018</t>
  </si>
  <si>
    <t>343/KPTS/Cs/K/2024</t>
  </si>
  <si>
    <t>Alif Syarifudin, S.Ars.</t>
  </si>
  <si>
    <t>199406132024211013</t>
  </si>
  <si>
    <t>342/KPTS/Cs/K/2024</t>
  </si>
  <si>
    <t>Davik Sugara, S.T.</t>
  </si>
  <si>
    <t>198707272024211009</t>
  </si>
  <si>
    <t>028/KPTS/Bs/K/2024</t>
  </si>
  <si>
    <t>Fajrie Prasdhitio Anggono, S.Ars.</t>
  </si>
  <si>
    <t>199609012024211004</t>
  </si>
  <si>
    <t>540/KPTS/Cs/K/2024</t>
  </si>
  <si>
    <t>Hadi Anwari, S.E.</t>
  </si>
  <si>
    <t>198310302024211001</t>
  </si>
  <si>
    <t>369/KPTS/Bs/K/2024</t>
  </si>
  <si>
    <t>Junius Sihombing, S.T.</t>
  </si>
  <si>
    <t>199106042024211012</t>
  </si>
  <si>
    <t>349/KPTS/Cs/K/2024</t>
  </si>
  <si>
    <t>Marselino Gamaliel Tamallo, S.Tr.T.</t>
  </si>
  <si>
    <t>199802052024211003</t>
  </si>
  <si>
    <t>538/KPTS/Cs/K/2024</t>
  </si>
  <si>
    <t>Wilona Benita Megawati, S.Tr.T.</t>
  </si>
  <si>
    <t>199911142024212007</t>
  </si>
  <si>
    <t>537/KPTS/Cs/K/2024</t>
  </si>
  <si>
    <t>Nurul Martila, A.Md.</t>
  </si>
  <si>
    <t>199003042024212005</t>
  </si>
  <si>
    <t>015/KPTS/SP/K/2024</t>
  </si>
  <si>
    <t>Agustina Rakhman, S.T.</t>
  </si>
  <si>
    <t>198508042024212006</t>
  </si>
  <si>
    <t>551/KPTS/Cs/K/2024</t>
  </si>
  <si>
    <t>Febryan Mulya Kuncara, S.T.</t>
  </si>
  <si>
    <t>199602042024211002</t>
  </si>
  <si>
    <t>372/KPTS/AS/K/2024</t>
  </si>
  <si>
    <t>Poppy Christiani Shariputri, S.T.</t>
  </si>
  <si>
    <t>198403032024212002</t>
  </si>
  <si>
    <t>554/KPTS/Cs/K/2024</t>
  </si>
  <si>
    <t>Tito Hadinata, S.T.</t>
  </si>
  <si>
    <t>199103082024211005</t>
  </si>
  <si>
    <t>555/KPTS/Cs/K/2024</t>
  </si>
  <si>
    <t>Yovita Eka Purnama Andriani, S.T.</t>
  </si>
  <si>
    <t>199506302024212016</t>
  </si>
  <si>
    <t>361/KPTS/Cs/K/2024</t>
  </si>
  <si>
    <t>Alvian Yogi Mahendra, A.Md.</t>
  </si>
  <si>
    <t>199501082024211005</t>
  </si>
  <si>
    <t>733/KPTS/Cs/K/2024</t>
  </si>
  <si>
    <t>B. Sabdono, S.T.</t>
  </si>
  <si>
    <t>197505062024211001</t>
  </si>
  <si>
    <t>503/KPTS/Cs/K/2024</t>
  </si>
  <si>
    <t>Dony Wisdarmanto, S.T.</t>
  </si>
  <si>
    <t>197906272024211002</t>
  </si>
  <si>
    <t>502/KPTS/Cs/K/2024</t>
  </si>
  <si>
    <t>Dwi Wulan Saraswati, S.T.</t>
  </si>
  <si>
    <t>198302052024212003</t>
  </si>
  <si>
    <t>500/KPTS/Cs/K/2024</t>
  </si>
  <si>
    <t>Isadora Kris Septiana Dewi, S.T.</t>
  </si>
  <si>
    <t>199709292024212019</t>
  </si>
  <si>
    <t>669/KPTS/Cs/K/2024</t>
  </si>
  <si>
    <t>Retno Palupi, S.T.</t>
  </si>
  <si>
    <t>198405082024212008</t>
  </si>
  <si>
    <t>670/KPTS/Cs/K/2024</t>
  </si>
  <si>
    <t>Syifaullinnas, S.Ars.</t>
  </si>
  <si>
    <t>199409192024212022</t>
  </si>
  <si>
    <t>435/KPTS/Cs/K/2024</t>
  </si>
  <si>
    <t>Adrian Prihandono, A.Md.</t>
  </si>
  <si>
    <t>198903222024211005</t>
  </si>
  <si>
    <t>686/KPTS/Cs/K/2024</t>
  </si>
  <si>
    <t>Deva Resi Aprillinita, A.Md.</t>
  </si>
  <si>
    <t>198304202024212004</t>
  </si>
  <si>
    <t>750/KPTS/Cs/K/2024</t>
  </si>
  <si>
    <t>Diah Kusuma Hartina, A.Md.</t>
  </si>
  <si>
    <t>199606242024212010</t>
  </si>
  <si>
    <t>682/KPTS/Cs/K/2024</t>
  </si>
  <si>
    <t>Nanda Kharisma, A.Md.</t>
  </si>
  <si>
    <t>199012052024211005</t>
  </si>
  <si>
    <t>684/KPTS/Cs/K/2024</t>
  </si>
  <si>
    <t>Andri Kurniawan, S.T.</t>
  </si>
  <si>
    <t>198110022024211001</t>
  </si>
  <si>
    <t>562/KPTS/Cs/K/2024</t>
  </si>
  <si>
    <t>Fahmi Adi Setya Winarto, S.T.</t>
  </si>
  <si>
    <t>199306052024211014</t>
  </si>
  <si>
    <t>370/KPTS/Cs/K/2024</t>
  </si>
  <si>
    <t>Gatot Setyo Utomo, S.T.</t>
  </si>
  <si>
    <t>199409032024211006</t>
  </si>
  <si>
    <t>363/KPTS/Cs/K/2024</t>
  </si>
  <si>
    <t>Mareta Faryanti, S.T.</t>
  </si>
  <si>
    <t>199303042024212009</t>
  </si>
  <si>
    <t>369/KPTS/Cs/K/2024</t>
  </si>
  <si>
    <t>Moh. Ilham Fahmi, S.Tr.T.</t>
  </si>
  <si>
    <t>199709142024211005</t>
  </si>
  <si>
    <t>Tiga Juta Dua Ratus Empat Ribu Enam Ratus Rupiah</t>
  </si>
  <si>
    <t>559/KPTS/Cs/K/2024</t>
  </si>
  <si>
    <t>Nol Rupiah</t>
  </si>
  <si>
    <t>Nadya Oktavianty, S.T.</t>
  </si>
  <si>
    <t>199410302024212019</t>
  </si>
  <si>
    <t>367/KPTS/Cs/K/2024</t>
  </si>
  <si>
    <t>Reski Aditya Desyawan, S.S.T.</t>
  </si>
  <si>
    <t>199512172024211008</t>
  </si>
  <si>
    <t>67/KPTS/Ks/K/2024</t>
  </si>
  <si>
    <t>Trisnawaty, S.T.</t>
  </si>
  <si>
    <t>199403312024212005</t>
  </si>
  <si>
    <t>575/KPTS/Cs/K/2024</t>
  </si>
  <si>
    <t>Intan Marisa Rahman, S.T.</t>
  </si>
  <si>
    <t>198811162024212010</t>
  </si>
  <si>
    <t>566/KPTS/Cs/K/2024</t>
  </si>
  <si>
    <t>Arie Fitriady, A.Md.</t>
  </si>
  <si>
    <t>198506192024211005</t>
  </si>
  <si>
    <t>688/KPTS/Cs/K/2024</t>
  </si>
  <si>
    <t>Deky Pranata Putra, S.ST.</t>
  </si>
  <si>
    <t>199312032024211011</t>
  </si>
  <si>
    <t>377/KPTS/Cs/K/2024</t>
  </si>
  <si>
    <t>Deni Kurniawan, S.T.</t>
  </si>
  <si>
    <t>199106092024211014</t>
  </si>
  <si>
    <t>376/KPTS/Cs/K/2024</t>
  </si>
  <si>
    <t>Pratiwi Ramelia, S.T.</t>
  </si>
  <si>
    <t>199109032024212011</t>
  </si>
  <si>
    <t>564/KPTS/Cs/K/2024</t>
  </si>
  <si>
    <t>Ricky Tisna Saputra, S.T.</t>
  </si>
  <si>
    <t>199212222024211008</t>
  </si>
  <si>
    <t>373/KPTS/Cs/K/2024</t>
  </si>
  <si>
    <t>Yuni Daniar, S.T.</t>
  </si>
  <si>
    <t>198706292024212008</t>
  </si>
  <si>
    <t>374/KPTS/Cs/K/2024</t>
  </si>
  <si>
    <t>Andi Rifkie Irawan, S.T.</t>
  </si>
  <si>
    <t>198705092024211008</t>
  </si>
  <si>
    <t>579/KPTS/Cs/K/2024</t>
  </si>
  <si>
    <t>Muhammad Syafa'at Kurniawan, S.T.</t>
  </si>
  <si>
    <t>199501292024211005</t>
  </si>
  <si>
    <t>581/KPTS/Cs/K/2024</t>
  </si>
  <si>
    <t>Dewi Fyka Fatmasari, S.T.</t>
  </si>
  <si>
    <t>198905222024212009</t>
  </si>
  <si>
    <t>43/KPTS/Ks/K/2024</t>
  </si>
  <si>
    <t>Hesly Lamba, S.Kom.</t>
  </si>
  <si>
    <t>198011082024211002</t>
  </si>
  <si>
    <t>514/KPTS/AS/K/2024</t>
  </si>
  <si>
    <t>Dimas Primasatya, S.T.</t>
  </si>
  <si>
    <t>198902202024211001</t>
  </si>
  <si>
    <t>606/KPTS/Cs/K/2024</t>
  </si>
  <si>
    <t>Nurdin, S.T.</t>
  </si>
  <si>
    <t>198406202024211003</t>
  </si>
  <si>
    <t>423/KPTS/Cs/K/2024</t>
  </si>
  <si>
    <t>Chornelia Wunu Logo, S.ST.</t>
  </si>
  <si>
    <t>198303272024212005</t>
  </si>
  <si>
    <t>610/KPTS/Cs/K/2024</t>
  </si>
  <si>
    <t>Erwin Yulianus Kini, S.T.</t>
  </si>
  <si>
    <t>198101132024211003</t>
  </si>
  <si>
    <t>612/KPTS/Cs/K/2024</t>
  </si>
  <si>
    <t>Hesron Ignasius Mone, S.T.</t>
  </si>
  <si>
    <t>199309042024211008</t>
  </si>
  <si>
    <t>434/KPTS/Cs/K/2024</t>
  </si>
  <si>
    <t>Philip Januardy Dethan, S.T.</t>
  </si>
  <si>
    <t>198901142024211007</t>
  </si>
  <si>
    <t>Penata Kelola Penyehatan Lingkungan Ahli Pertama</t>
  </si>
  <si>
    <t>254/KPTS/Cs/K/2024</t>
  </si>
  <si>
    <t>Yoachim Guisepe Yuven, S.T.</t>
  </si>
  <si>
    <t>198903142024211004</t>
  </si>
  <si>
    <t>429/KPTS/Cs/K/2024</t>
  </si>
  <si>
    <t>I Wayan Eka Parwata, A.Md.</t>
  </si>
  <si>
    <t>198211222024211001</t>
  </si>
  <si>
    <t>Satuan Kerja Pelaksanaan Prasarana Strategis Sulawesi Tenggara</t>
  </si>
  <si>
    <t>Kepala Satuan Kerja Pelaksanaan Prasarana Strategis Sulawesi Tenggara</t>
  </si>
  <si>
    <t>722/KPTS/Cs/K/2024</t>
  </si>
  <si>
    <t>Chairunnisa Hansa, S.T.</t>
  </si>
  <si>
    <t>198806152024212008</t>
  </si>
  <si>
    <t>647/KPTS/Cs/K/2024</t>
  </si>
  <si>
    <t>Dilyanto Palungan Rantetasak, S.T.</t>
  </si>
  <si>
    <t>198307082024211009</t>
  </si>
  <si>
    <t>469/KPTS/Cs/K/2024</t>
  </si>
  <si>
    <t>Eka Astri Puspiani Bedi, S.T.</t>
  </si>
  <si>
    <t>198703072024212009</t>
  </si>
  <si>
    <t>648/KPTS/Cs/K/2024</t>
  </si>
  <si>
    <t>Farid Anis Kaba, S.T.</t>
  </si>
  <si>
    <t>197610042024211003</t>
  </si>
  <si>
    <t>470/KPTS/Cs/K/2024</t>
  </si>
  <si>
    <t>Muslimin. S, S.T.</t>
  </si>
  <si>
    <t>199011122024211016</t>
  </si>
  <si>
    <t>472/KPTS/Cs/K/2024</t>
  </si>
  <si>
    <t>Resky Pratama Sabiri, A.Md.</t>
  </si>
  <si>
    <t>199507262024211009</t>
  </si>
  <si>
    <t>Satuan Kerja Pelaksanaan Prasarana Strategis Sulawesi Selatan</t>
  </si>
  <si>
    <t>Kepala Satuan Kerja Pelaksanaan Prasarana Strategis Sulawesi Selatan</t>
  </si>
  <si>
    <t>715/KPTS/Cs/K/2024</t>
  </si>
  <si>
    <t>Yustian Tandi Padang Mangi, A.Md.</t>
  </si>
  <si>
    <t>198501032024211005</t>
  </si>
  <si>
    <t>703/KPTS/Cs/K/2024</t>
  </si>
  <si>
    <t>Darliati Jumharil Iskandar, S.T.</t>
  </si>
  <si>
    <t>199204172024212006</t>
  </si>
  <si>
    <t>634/KPTS/Cs/K/2024</t>
  </si>
  <si>
    <t>Dasfri Selim Salinggi, S.T.</t>
  </si>
  <si>
    <t>199402212024212017</t>
  </si>
  <si>
    <t>460/KPTS/Cs/K/2024</t>
  </si>
  <si>
    <t>Fika Aulia, S.T.</t>
  </si>
  <si>
    <t>199602182024212024</t>
  </si>
  <si>
    <t>439/KPTS/Cs/K/2024</t>
  </si>
  <si>
    <t>Karmila Arman, S.T.</t>
  </si>
  <si>
    <t>198303312024212004</t>
  </si>
  <si>
    <t>457/KPTS/Cs/K/2024</t>
  </si>
  <si>
    <t>Khairul Bayam Muhammad, S.T.</t>
  </si>
  <si>
    <t>198801252024211002</t>
  </si>
  <si>
    <t>119/KPTS/AS/K/2024</t>
  </si>
  <si>
    <t>Muhammad Fahri Silah, S.T.</t>
  </si>
  <si>
    <t>199811212024211004</t>
  </si>
  <si>
    <t>626/KPTS/Cs/K/2024</t>
  </si>
  <si>
    <t>Jolan Juliana Sumajow, S.T.</t>
  </si>
  <si>
    <t>198706242024212007</t>
  </si>
  <si>
    <t>Satuan Kerja Pelaksanaan Prasarana Strategis Sulawesi Utara</t>
  </si>
  <si>
    <t>Kepala Satuan Kerja Pelaksanaan Prasarana Strategis Sulawesi Utara</t>
  </si>
  <si>
    <t>277/KPTS/Cs/K/2024</t>
  </si>
  <si>
    <t>Muhammad Noer Faydil, S.T.</t>
  </si>
  <si>
    <t>199303252024211013</t>
  </si>
  <si>
    <t>125/KPTS/Cs/K/2024</t>
  </si>
  <si>
    <t>Sofried Hendry Moningka, S.T.</t>
  </si>
  <si>
    <t>198001252024211003</t>
  </si>
  <si>
    <t>161/KPTS/Cs/K/2024</t>
  </si>
  <si>
    <t>Alief, A.Md.</t>
  </si>
  <si>
    <t>198305092024211008</t>
  </si>
  <si>
    <t>Satuan Kerja Pelaksanaan Prasarana Strategis Sulawesi Tengah</t>
  </si>
  <si>
    <t>Kepala Satuan Kerja Pelaksanaan Prasarana Strategis Sulawesi Tengah</t>
  </si>
  <si>
    <t>719/KPTS/Cs/K/2024</t>
  </si>
  <si>
    <t>Novriana Rilany Patiri, S.T.</t>
  </si>
  <si>
    <t>198311262024212005</t>
  </si>
  <si>
    <t>466/KPTS/Cs/K/2024</t>
  </si>
  <si>
    <t>Ahmad Arifin, A.Md.</t>
  </si>
  <si>
    <t>199108012024211007</t>
  </si>
  <si>
    <t>678/KPTS/Cs/K/2024</t>
  </si>
  <si>
    <t>Budy Buchari Lamangantjo, S.T.</t>
  </si>
  <si>
    <t>199401222024211009</t>
  </si>
  <si>
    <t>334/KPTS/Cs/K/2024</t>
  </si>
  <si>
    <t>Rusli H Suma, S.Ars.</t>
  </si>
  <si>
    <t>197911072024211004</t>
  </si>
  <si>
    <t>335/KPTS/Cs/K/2024</t>
  </si>
  <si>
    <t>Zulkifli Samin Saleh, S.Ars.</t>
  </si>
  <si>
    <t>199202072024211008</t>
  </si>
  <si>
    <t>532/KPTS/Cs/K/2024</t>
  </si>
  <si>
    <t>Agust Wattimena, A.Md.</t>
  </si>
  <si>
    <t>198404162024211006</t>
  </si>
  <si>
    <t>700/KPTS/Cs/K/2024</t>
  </si>
  <si>
    <t>Gladimier V. Parera, S.T.</t>
  </si>
  <si>
    <t>198902132024211007</t>
  </si>
  <si>
    <t>412/KPTS/Cs/K/2024</t>
  </si>
  <si>
    <t>Slamet Riyadi Gamgulu, S.T.</t>
  </si>
  <si>
    <t>199012082024211002</t>
  </si>
  <si>
    <t>Satuan Kerja Pelaksanaan Prasarana Strategis Maluku Utara</t>
  </si>
  <si>
    <t>Kepala Satuan Kerja Pelaksanaan Prasarana Strategis Maluku Utara</t>
  </si>
  <si>
    <t>258/KPTS/Cs/K/2024</t>
  </si>
  <si>
    <t>Zulfahmi M. Malik, S.T.</t>
  </si>
  <si>
    <t>199306132024211010</t>
  </si>
  <si>
    <t>127/KPTS/Cs/K/2024</t>
  </si>
  <si>
    <t>Irene Mardani Kasi, S.T.</t>
  </si>
  <si>
    <t>199701132024212008</t>
  </si>
  <si>
    <t>Satuan Kerja Pelaksanaan Prasarana Strategis Papua</t>
  </si>
  <si>
    <t>Kepala Satuan Kerja Pelaksanaan Prasarana Strategis Papua</t>
  </si>
  <si>
    <t>615/KPTS/Cs/K/2024</t>
  </si>
  <si>
    <t>Rasmawati Bulo, S.T.</t>
  </si>
  <si>
    <t>197812172024212004</t>
  </si>
  <si>
    <t>437/KPTS/Cs/K/2024</t>
  </si>
  <si>
    <t>Isrofi Irianto, S.T.</t>
  </si>
  <si>
    <t>199401092024211004</t>
  </si>
  <si>
    <t>621/KPTS/Cs/K/2024</t>
  </si>
  <si>
    <t>Marselyanus Akin, S.T.</t>
  </si>
  <si>
    <t>198703182024211006</t>
  </si>
  <si>
    <t>444/KPTS/Cs/K/2024</t>
  </si>
  <si>
    <t>Status</t>
  </si>
  <si>
    <t>Count</t>
  </si>
  <si>
    <t>Pejabat_Penandatangan</t>
  </si>
  <si>
    <t>Unit_Kerja</t>
  </si>
  <si>
    <t>Kepala Biro Kepegawaian, Organisasi, dan Tata Laksana</t>
  </si>
  <si>
    <t>v</t>
  </si>
  <si>
    <t>Check Point</t>
  </si>
  <si>
    <t>27 Januari 2026</t>
  </si>
  <si>
    <t>KP0605/B/Gs/2026/051</t>
  </si>
  <si>
    <t>KP0605/B/Gs/2026/052</t>
  </si>
  <si>
    <t>KP0605/B/Gs/2026/053</t>
  </si>
  <si>
    <t>KP0605/B/Gs/2026/054</t>
  </si>
  <si>
    <t>KP0605/B/Gs/2026/055</t>
  </si>
  <si>
    <t>KP0605/B/Gs/2026/056</t>
  </si>
  <si>
    <t>KP0605/B/Gs/2026/057</t>
  </si>
  <si>
    <t>KP0605/B/Gs/2026/058</t>
  </si>
  <si>
    <t>KP0605/B/Gs/2026/059</t>
  </si>
  <si>
    <t>KP0605/B/Gs/2026/060</t>
  </si>
  <si>
    <t>KP0605/B/Gs/2026/061</t>
  </si>
  <si>
    <t>KP0605/B/Gs/2026/062</t>
  </si>
  <si>
    <t>KP0605/B/Gs/2026/063</t>
  </si>
  <si>
    <t>KP0605/B/Gs/2026/064</t>
  </si>
  <si>
    <t>KP0605/B/Gs/2026/065</t>
  </si>
  <si>
    <t>KP0605/B/Gs/2026/066</t>
  </si>
  <si>
    <t>KP0605/B/Gs/2026/067</t>
  </si>
  <si>
    <t>Sekretaris Direktorat Jenderal Bina Konstruksi</t>
  </si>
  <si>
    <t xml:space="preserve">Sekretaris Jenderal Pembiayaan Infrastruktur Pekerjaan Umum Dan Perumahan </t>
  </si>
  <si>
    <t xml:space="preserve">Sekretaris Direktorat Jenderal Bina Marga </t>
  </si>
  <si>
    <t xml:space="preserve">Sekretaris Direktorat Jenderal Sumber Daya Air </t>
  </si>
  <si>
    <t>Kepala Biro Kepegawaian, Organisasi, Dan Tata Laksana</t>
  </si>
  <si>
    <t>2 Februari 2026</t>
  </si>
  <si>
    <t>KP0605/B/Gs/2026/075</t>
  </si>
  <si>
    <t>KP0605/B/Gs/2026/076</t>
  </si>
  <si>
    <t>KP0605/B/Gs/2026/077</t>
  </si>
  <si>
    <t>KP0605/B/Gs/2026/078</t>
  </si>
  <si>
    <t>KP0605/B/Gs/2026/079</t>
  </si>
  <si>
    <t>KP0605/B/Gs/2026/080</t>
  </si>
  <si>
    <t>KP0605/B/Gs/2026/081</t>
  </si>
  <si>
    <t>KP0605/B/Gs/2026/082</t>
  </si>
  <si>
    <t>KP0605/B/Gs/2026/083</t>
  </si>
  <si>
    <t>KP0605/B/Gs/2026/084</t>
  </si>
  <si>
    <t>KP0605/B/Gs/2026/085</t>
  </si>
  <si>
    <t>KP0605/B/Gs/2026/086</t>
  </si>
  <si>
    <t>KP0605/B/Gs/2026/087</t>
  </si>
  <si>
    <t>KP0605/B/Gs/2026/088</t>
  </si>
  <si>
    <t>KP0605/B/Gs/2026/089</t>
  </si>
  <si>
    <t>KP0605/B/Gs/2026/090</t>
  </si>
  <si>
    <t>KP0605/B/Gs/2026/091</t>
  </si>
  <si>
    <t>KP0605/B/Gs/2026/092</t>
  </si>
  <si>
    <t>KP0605/B/Gs/2026/093</t>
  </si>
  <si>
    <t>KP0605/B/Gs/2026/094</t>
  </si>
  <si>
    <t>KP0605/B/Gs/2026/095</t>
  </si>
  <si>
    <t>KP0605/B/Gs/2026/096</t>
  </si>
  <si>
    <t>KP0605/B/Gs/2026/097</t>
  </si>
  <si>
    <t>KP0605/B/Gs/2026/098</t>
  </si>
  <si>
    <t>KP0605/B/Gs/2026/099</t>
  </si>
  <si>
    <t>KP0605/B/Gs/2026/100</t>
  </si>
  <si>
    <t>KP0605/B/Gs/2026/101</t>
  </si>
  <si>
    <t>KP0605/B/Gs/2026/102</t>
  </si>
  <si>
    <t>KP0605/B/Gs/2026/103</t>
  </si>
  <si>
    <t>KP0605/B/Gs/2026/104</t>
  </si>
  <si>
    <t>KP0605/B/Gs/2026/105</t>
  </si>
  <si>
    <t>KP0605/B/Gs/2026/106</t>
  </si>
  <si>
    <t>KP0605/B/Gs/2026/107</t>
  </si>
  <si>
    <t>KP0605/B/Gs/2026/108</t>
  </si>
  <si>
    <t>KP0605/B/Gs/2026/109</t>
  </si>
  <si>
    <t>KP0605/B/Gs/2026/110</t>
  </si>
  <si>
    <t>KP0605/B/Gs/2026/111</t>
  </si>
  <si>
    <t>KP0605/B/Gs/2026/112</t>
  </si>
  <si>
    <t>KP0605/B/Gs/2026/113</t>
  </si>
  <si>
    <t>KP0605/B/Gs/2026/114</t>
  </si>
  <si>
    <t>KP0605/B/Gs/2026/115</t>
  </si>
  <si>
    <t>KP0605/B/Gs/2026/116</t>
  </si>
  <si>
    <t>KP0605/B/Gs/2026/117</t>
  </si>
  <si>
    <t>KP0605/B/Gs/2026/118</t>
  </si>
  <si>
    <t>KP0605/B/Gs/2026/119</t>
  </si>
  <si>
    <t>KP0605/B/Gs/2026/120</t>
  </si>
  <si>
    <t>KP0605/B/Gs/2026/121</t>
  </si>
  <si>
    <t>KP0605/B/Gs/2026/122</t>
  </si>
  <si>
    <t>KP0605/B/Gs/2026/123</t>
  </si>
  <si>
    <t>KP0605/B/Gs/2026/124</t>
  </si>
  <si>
    <t>KP0605/B/Gs/2026/125</t>
  </si>
  <si>
    <t>KP0605/B/Gs/2026/126</t>
  </si>
  <si>
    <t>KP0605/B/Gs/2026/127</t>
  </si>
  <si>
    <t>KP0605/B/Gs/2026/128</t>
  </si>
  <si>
    <t>KP0605/B/Gs/2026/129</t>
  </si>
  <si>
    <t>No</t>
  </si>
  <si>
    <t>Unit Kerja</t>
  </si>
  <si>
    <t>Jumlah Pegawai</t>
  </si>
  <si>
    <t>Masa Kerja</t>
  </si>
  <si>
    <t>Row Labels</t>
  </si>
  <si>
    <t>Grand Total</t>
  </si>
  <si>
    <t>Column Labels</t>
  </si>
  <si>
    <t>Count of Tahun Kerja</t>
  </si>
  <si>
    <t>4 Tahun 0 Bulan</t>
  </si>
  <si>
    <t>18 Tahun 0 Bulan</t>
  </si>
  <si>
    <t>8 Tahun 0 Bulan</t>
  </si>
  <si>
    <t>12 Tahun 0 Bulan</t>
  </si>
  <si>
    <t>Keterangan</t>
  </si>
  <si>
    <t>Di proses  ke Bulan April</t>
  </si>
  <si>
    <t>03</t>
  </si>
  <si>
    <t>04</t>
  </si>
  <si>
    <t>14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</si>
  <si>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</si>
  <si>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</si>
  <si>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</si>
  <si>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</si>
  <si>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</si>
  <si>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</si>
  <si>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</si>
  <si>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</si>
  <si>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</si>
  <si>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</si>
  <si>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</si>
  <si>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</si>
  <si>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</si>
  <si>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</si>
  <si>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</si>
  <si>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3 Februari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</si>
</sst>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quotePrefix="1" applyNumberFormat="1"/>
    <xf numFmtId="14" fontId="1" fillId="0" borderId="1" xfId="0" applyNumberFormat="1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NumberFormat="1"/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4" fontId="0" fillId="2" borderId="0" xfId="0" applyNumberFormat="1" applyFill="1"/>
    <xf numFmtId="0" fontId="0" fillId="2" borderId="0" xfId="0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49" fontId="0" fillId="0" borderId="0" xfId="0" applyNumberForma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riq Ramadhan" refreshedDate="46055.65878622685" createdVersion="8" refreshedVersion="8" minRefreshableVersion="3" recordCount="55" xr:uid="{EE03EB2D-F209-44DA-A165-BF794DF6F9F8}">
  <cacheSource type="worksheet">
    <worksheetSource ref="L1:M61" sheet="Sheet2"/>
  </cacheSource>
  <cacheFields count="2">
    <cacheField name="Unit Kerja" numFmtId="0">
      <sharedItems count="26">
        <s v="Satuan Kerja Pelaksanaan Prasarana Strategis Aceh"/>
        <s v="Satuan Kerja Pelaksanaan Prasarana Strategis Sumatera Utara"/>
        <s v="Satuan Kerja Pelaksanaan Prasarana Strategis Sumatera Barat"/>
        <s v="Satuan Kerja Pelaksanaan Prasarana Strategis Riau"/>
        <s v="Satuan Kerja Pelaksanaan Prasarana Strategis Kepulauan Riau"/>
        <s v="Satuan Kerja Pelaksanaan Prasarana Strategis Bengkulu"/>
        <s v="Satuan Kerja Pelaksanaan Prasarana Strategis Sumatera Selatan"/>
        <s v="Satuan Kerja Pelaksanaan Prasarana Strategis Kepulauan Bangka Belitung"/>
        <s v="Satuan Kerja Pelaksanaan Prasarana Strategis Lampung"/>
        <s v="Satuan Kerja Pelaksanaan Prasarana Strategis Banten"/>
        <s v="Satuan Kerja Pelaksanaan Prasarana Strategis Jawa Barat"/>
        <s v="Satuan Kerja Pelaksanaan Prasarana Strategis Jawa Tengah"/>
        <s v="Satuan Kerja Pelaksanaan Prasarana Strategis D.I. Yogyakarta"/>
        <s v="Satuan Kerja Pelaksanaan Prasarana Strategis Jawa Timur"/>
        <s v="Satuan Kerja Pelaksanaan Prasarana Strategis Kalimantan Timur"/>
        <s v="Satuan Kerja Pelaksanaan Prasarana Strategis Kalimantan Selatan"/>
        <s v="Satuan Kerja Pelaksanaan Prasarana Strategis Kalimantan Barat"/>
        <s v="Satuan Kerja Pelaksanaan Prasarana Strategis Kalimantan Utara"/>
        <s v="Satuan Kerja Pelaksanaan Prasarana Strategis Kalimantan Tengah"/>
        <s v="Satuan Kerja Pelaksanaan Prasarana Strategis Bali"/>
        <s v="Satuan Kerja Pelaksanaan Prasarana Strategis Nusa Tenggara Barat"/>
        <s v="Satuan Kerja Pelaksanaan Prasarana Strategis Nusa Tenggara Timur"/>
        <s v="Satuan Kerja Pelaksanaan Prasarana Strategis Sulawesi Barat"/>
        <s v="Satuan Kerja Pelaksanaan Prasarana Strategis Gorontalo"/>
        <s v="Satuan Kerja Pelaksanaan Prasarana Strategis Maluku"/>
        <s v="Satuan Kerja Pelaksanaan Prasarana Strategis Papua Barat"/>
      </sharedItems>
    </cacheField>
    <cacheField name="Tahun Kerja" numFmtId="0">
      <sharedItems containsSemiMixedTypes="0" containsString="0" containsNumber="1" containsInteger="1" minValue="4" maxValue="18" count="4">
        <n v="4"/>
        <n v="18"/>
        <n v="8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">
  <r>
    <x v="0"/>
    <x v="0"/>
  </r>
  <r>
    <x v="0"/>
    <x v="0"/>
  </r>
  <r>
    <x v="0"/>
    <x v="0"/>
  </r>
  <r>
    <x v="0"/>
    <x v="0"/>
  </r>
  <r>
    <x v="1"/>
    <x v="0"/>
  </r>
  <r>
    <x v="1"/>
    <x v="0"/>
  </r>
  <r>
    <x v="1"/>
    <x v="0"/>
  </r>
  <r>
    <x v="1"/>
    <x v="0"/>
  </r>
  <r>
    <x v="1"/>
    <x v="0"/>
  </r>
  <r>
    <x v="2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8"/>
    <x v="0"/>
  </r>
  <r>
    <x v="9"/>
    <x v="1"/>
  </r>
  <r>
    <x v="9"/>
    <x v="2"/>
  </r>
  <r>
    <x v="9"/>
    <x v="0"/>
  </r>
  <r>
    <x v="9"/>
    <x v="0"/>
  </r>
  <r>
    <x v="10"/>
    <x v="0"/>
  </r>
  <r>
    <x v="10"/>
    <x v="0"/>
  </r>
  <r>
    <x v="11"/>
    <x v="0"/>
  </r>
  <r>
    <x v="11"/>
    <x v="0"/>
  </r>
  <r>
    <x v="11"/>
    <x v="0"/>
  </r>
  <r>
    <x v="11"/>
    <x v="0"/>
  </r>
  <r>
    <x v="11"/>
    <x v="0"/>
  </r>
  <r>
    <x v="12"/>
    <x v="0"/>
  </r>
  <r>
    <x v="13"/>
    <x v="0"/>
  </r>
  <r>
    <x v="13"/>
    <x v="0"/>
  </r>
  <r>
    <x v="13"/>
    <x v="0"/>
  </r>
  <r>
    <x v="14"/>
    <x v="0"/>
  </r>
  <r>
    <x v="14"/>
    <x v="0"/>
  </r>
  <r>
    <x v="15"/>
    <x v="0"/>
  </r>
  <r>
    <x v="15"/>
    <x v="0"/>
  </r>
  <r>
    <x v="16"/>
    <x v="0"/>
  </r>
  <r>
    <x v="16"/>
    <x v="0"/>
  </r>
  <r>
    <x v="16"/>
    <x v="0"/>
  </r>
  <r>
    <x v="17"/>
    <x v="0"/>
  </r>
  <r>
    <x v="18"/>
    <x v="0"/>
  </r>
  <r>
    <x v="19"/>
    <x v="0"/>
  </r>
  <r>
    <x v="19"/>
    <x v="0"/>
  </r>
  <r>
    <x v="20"/>
    <x v="0"/>
  </r>
  <r>
    <x v="21"/>
    <x v="1"/>
  </r>
  <r>
    <x v="21"/>
    <x v="0"/>
  </r>
  <r>
    <x v="21"/>
    <x v="0"/>
  </r>
  <r>
    <x v="22"/>
    <x v="3"/>
  </r>
  <r>
    <x v="22"/>
    <x v="0"/>
  </r>
  <r>
    <x v="23"/>
    <x v="0"/>
  </r>
  <r>
    <x v="24"/>
    <x v="0"/>
  </r>
  <r>
    <x v="25"/>
    <x v="0"/>
  </r>
  <r>
    <x v="25"/>
    <x v="0"/>
  </r>
  <r>
    <x v="2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1361F2-AFDF-44E0-9902-F7E2BC28346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1" firstHeaderRow="1" firstDataRow="2" firstDataCol="1"/>
  <pivotFields count="2">
    <pivotField axis="axisRow" showAll="0">
      <items count="27">
        <item x="0"/>
        <item x="19"/>
        <item x="9"/>
        <item x="5"/>
        <item x="12"/>
        <item x="23"/>
        <item x="10"/>
        <item x="11"/>
        <item x="13"/>
        <item x="16"/>
        <item x="15"/>
        <item x="18"/>
        <item x="14"/>
        <item x="17"/>
        <item x="7"/>
        <item x="4"/>
        <item x="8"/>
        <item x="24"/>
        <item x="20"/>
        <item x="21"/>
        <item x="25"/>
        <item x="3"/>
        <item x="22"/>
        <item x="2"/>
        <item x="6"/>
        <item x="1"/>
        <item t="default"/>
      </items>
    </pivotField>
    <pivotField axis="axisCol" dataField="1" showAll="0">
      <items count="5">
        <item x="0"/>
        <item x="2"/>
        <item x="3"/>
        <item x="1"/>
        <item t="default"/>
      </items>
    </pivotField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ahun Kerj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73"/>
  <sheetViews>
    <sheetView zoomScale="55" zoomScaleNormal="55" workbookViewId="0">
      <pane xSplit="1" ySplit="1" topLeftCell="B31" activePane="bottomRight" state="frozen"/>
      <selection pane="topRight" activeCell="B1" sqref="B1"/>
      <selection pane="bottomLeft" activeCell="A2" sqref="A2"/>
      <selection pane="bottomRight" activeCell="F19" sqref="F19:F73"/>
    </sheetView>
  </sheetViews>
  <sheetFormatPr defaultRowHeight="14.4" x14ac:dyDescent="0.3"/>
  <cols>
    <col min="1" max="1" width="35.109375" bestFit="1" customWidth="1"/>
    <col min="2" max="2" width="19.21875" bestFit="1" customWidth="1"/>
    <col min="3" max="3" width="19.33203125" bestFit="1" customWidth="1"/>
    <col min="5" max="5" width="60.88671875" bestFit="1" customWidth="1"/>
    <col min="6" max="6" width="85.88671875" bestFit="1" customWidth="1"/>
    <col min="7" max="7" width="16.77734375" bestFit="1" customWidth="1"/>
    <col min="8" max="8" width="16.5546875" bestFit="1" customWidth="1"/>
    <col min="9" max="9" width="12.44140625" bestFit="1" customWidth="1"/>
    <col min="10" max="10" width="24.33203125" bestFit="1" customWidth="1"/>
    <col min="11" max="11" width="9.21875" bestFit="1" customWidth="1"/>
    <col min="12" max="12" width="31.33203125" bestFit="1" customWidth="1"/>
    <col min="13" max="13" width="84.109375" bestFit="1" customWidth="1"/>
    <col min="14" max="14" width="22.21875" bestFit="1" customWidth="1"/>
    <col min="15" max="15" width="56.77734375" bestFit="1" customWidth="1"/>
    <col min="16" max="16" width="42.21875" bestFit="1" customWidth="1"/>
    <col min="17" max="17" width="24.21875" bestFit="1" customWidth="1"/>
    <col min="18" max="18" width="28.33203125" bestFit="1" customWidth="1"/>
    <col min="19" max="19" width="33" bestFit="1" customWidth="1"/>
    <col min="20" max="20" width="35.21875" bestFit="1" customWidth="1"/>
    <col min="21" max="21" width="35" bestFit="1" customWidth="1"/>
    <col min="22" max="22" width="19.6640625" bestFit="1" customWidth="1"/>
    <col min="23" max="23" width="56.77734375" bestFit="1" customWidth="1"/>
    <col min="24" max="24" width="21.77734375" bestFit="1" customWidth="1"/>
    <col min="25" max="25" width="25.88671875" bestFit="1" customWidth="1"/>
    <col min="26" max="26" width="28.109375" bestFit="1" customWidth="1"/>
    <col min="27" max="27" width="32.6640625" bestFit="1" customWidth="1"/>
    <col min="28" max="28" width="32.44140625" bestFit="1" customWidth="1"/>
    <col min="30" max="30" width="58.109375" bestFit="1" customWidth="1"/>
    <col min="31" max="31" width="21.88671875" bestFit="1" customWidth="1"/>
    <col min="32" max="32" width="21.6640625" bestFit="1" customWidth="1"/>
    <col min="33" max="33" width="18" bestFit="1" customWidth="1"/>
    <col min="34" max="34" width="41.88671875" bestFit="1" customWidth="1"/>
    <col min="35" max="35" width="33" bestFit="1" customWidth="1"/>
    <col min="36" max="36" width="30.88671875" bestFit="1" customWidth="1"/>
    <col min="37" max="37" width="6" bestFit="1" customWidth="1"/>
    <col min="38" max="38" width="30.88671875" bestFit="1" customWidth="1"/>
    <col min="39" max="39" width="30.6640625" bestFit="1" customWidth="1"/>
    <col min="40" max="40" width="27" bestFit="1" customWidth="1"/>
    <col min="41" max="41" width="24" style="4" bestFit="1" customWidth="1"/>
    <col min="42" max="42" width="56.77734375" bestFit="1" customWidth="1"/>
    <col min="43" max="43" width="28.88671875" bestFit="1" customWidth="1"/>
    <col min="44" max="44" width="20" bestFit="1" customWidth="1"/>
    <col min="45" max="45" width="17.88671875" bestFit="1" customWidth="1"/>
    <col min="46" max="46" width="42.21875" bestFit="1" customWidth="1"/>
    <col min="47" max="47" width="37" bestFit="1" customWidth="1"/>
    <col min="48" max="48" width="15.44140625" style="3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6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2" t="s">
        <v>961</v>
      </c>
    </row>
    <row r="2" spans="1:48" x14ac:dyDescent="0.3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>
        <v>7</v>
      </c>
      <c r="H2">
        <v>10</v>
      </c>
      <c r="I2" t="s">
        <v>962</v>
      </c>
      <c r="J2" t="s">
        <v>963</v>
      </c>
      <c r="K2" t="s">
        <v>48</v>
      </c>
      <c r="L2" t="str">
        <f>_xlfn.CONCAT(K2, " ",A2)</f>
        <v>Sdr. Gede Oka Wiranatha, S.T., M.Sc.</v>
      </c>
      <c r="M2" t="s">
        <v>65</v>
      </c>
      <c r="N2">
        <v>3321400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>
        <v>6</v>
      </c>
      <c r="U2">
        <v>9</v>
      </c>
      <c r="V2">
        <v>3321400</v>
      </c>
      <c r="W2" t="s">
        <v>66</v>
      </c>
      <c r="X2" t="s">
        <v>68</v>
      </c>
      <c r="Y2" t="s">
        <v>69</v>
      </c>
      <c r="Z2" t="s">
        <v>70</v>
      </c>
      <c r="AA2">
        <v>6</v>
      </c>
      <c r="AB2">
        <v>9</v>
      </c>
      <c r="AC2">
        <v>3426000</v>
      </c>
      <c r="AD2" t="s">
        <v>71</v>
      </c>
      <c r="AE2">
        <v>8</v>
      </c>
      <c r="AF2">
        <v>0</v>
      </c>
      <c r="AG2" t="s">
        <v>53</v>
      </c>
      <c r="AH2" t="s">
        <v>72</v>
      </c>
      <c r="AI2" t="s">
        <v>73</v>
      </c>
      <c r="AJ2" t="s">
        <v>74</v>
      </c>
      <c r="AK2" t="s">
        <v>56</v>
      </c>
      <c r="AL2">
        <v>6</v>
      </c>
      <c r="AM2">
        <v>9</v>
      </c>
      <c r="AN2" t="s">
        <v>70</v>
      </c>
      <c r="AO2" s="4" t="s">
        <v>69</v>
      </c>
      <c r="AP2" t="s">
        <v>66</v>
      </c>
      <c r="AQ2" t="s">
        <v>75</v>
      </c>
      <c r="AR2" t="s">
        <v>68</v>
      </c>
      <c r="AS2">
        <v>3321400</v>
      </c>
      <c r="AT2" t="s">
        <v>959</v>
      </c>
      <c r="AU2">
        <v>2</v>
      </c>
    </row>
    <row r="3" spans="1:48" x14ac:dyDescent="0.3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63</v>
      </c>
      <c r="G3">
        <v>3</v>
      </c>
      <c r="H3">
        <v>10</v>
      </c>
      <c r="I3" t="s">
        <v>962</v>
      </c>
      <c r="J3" t="s">
        <v>964</v>
      </c>
      <c r="K3" t="s">
        <v>81</v>
      </c>
      <c r="L3" t="str">
        <f t="shared" ref="L3:L18" si="0">_xlfn.CONCAT(K3, " ",A3)</f>
        <v>Sdri. Febrianda Damayanti, S.T.</v>
      </c>
      <c r="M3" t="s">
        <v>65</v>
      </c>
      <c r="N3">
        <v>2873500</v>
      </c>
      <c r="O3" t="s">
        <v>82</v>
      </c>
      <c r="P3" t="s">
        <v>83</v>
      </c>
      <c r="Q3" t="s">
        <v>84</v>
      </c>
      <c r="R3" t="s">
        <v>85</v>
      </c>
      <c r="S3" t="s">
        <v>50</v>
      </c>
      <c r="T3">
        <v>2</v>
      </c>
      <c r="U3">
        <v>0</v>
      </c>
      <c r="V3">
        <v>2579400</v>
      </c>
      <c r="W3" t="s">
        <v>86</v>
      </c>
      <c r="X3" t="s">
        <v>87</v>
      </c>
      <c r="Y3" t="s">
        <v>88</v>
      </c>
      <c r="Z3" t="s">
        <v>89</v>
      </c>
      <c r="AA3">
        <v>1</v>
      </c>
      <c r="AB3">
        <v>0</v>
      </c>
      <c r="AC3">
        <v>2964000</v>
      </c>
      <c r="AD3" t="s">
        <v>90</v>
      </c>
      <c r="AE3">
        <v>4</v>
      </c>
      <c r="AF3">
        <v>0</v>
      </c>
      <c r="AG3" t="s">
        <v>53</v>
      </c>
      <c r="AH3" t="s">
        <v>72</v>
      </c>
      <c r="AI3" t="s">
        <v>73</v>
      </c>
      <c r="AJ3" t="s">
        <v>74</v>
      </c>
      <c r="AK3" t="s">
        <v>56</v>
      </c>
      <c r="AL3">
        <v>2</v>
      </c>
      <c r="AM3">
        <v>0</v>
      </c>
      <c r="AN3" t="s">
        <v>50</v>
      </c>
      <c r="AO3" s="4" t="s">
        <v>85</v>
      </c>
      <c r="AP3" t="s">
        <v>82</v>
      </c>
      <c r="AQ3" t="s">
        <v>57</v>
      </c>
      <c r="AR3" t="s">
        <v>84</v>
      </c>
      <c r="AS3">
        <v>2873500</v>
      </c>
      <c r="AT3" t="s">
        <v>83</v>
      </c>
      <c r="AU3">
        <v>2</v>
      </c>
    </row>
    <row r="4" spans="1:48" x14ac:dyDescent="0.3">
      <c r="A4" t="s">
        <v>91</v>
      </c>
      <c r="B4" t="s">
        <v>92</v>
      </c>
      <c r="C4" t="s">
        <v>78</v>
      </c>
      <c r="D4" t="s">
        <v>79</v>
      </c>
      <c r="E4" t="s">
        <v>93</v>
      </c>
      <c r="F4" t="s">
        <v>63</v>
      </c>
      <c r="G4">
        <v>3</v>
      </c>
      <c r="H4">
        <v>10</v>
      </c>
      <c r="I4" t="s">
        <v>962</v>
      </c>
      <c r="J4" t="s">
        <v>965</v>
      </c>
      <c r="K4" t="s">
        <v>48</v>
      </c>
      <c r="L4" t="str">
        <f t="shared" si="0"/>
        <v>Sdr. Muhammad Wahyudi Fortuna, S.T.</v>
      </c>
      <c r="M4" t="s">
        <v>65</v>
      </c>
      <c r="N4">
        <v>2579400</v>
      </c>
      <c r="O4" t="s">
        <v>86</v>
      </c>
      <c r="P4" t="s">
        <v>94</v>
      </c>
      <c r="Q4" t="s">
        <v>95</v>
      </c>
      <c r="R4" t="s">
        <v>88</v>
      </c>
      <c r="S4" t="s">
        <v>89</v>
      </c>
      <c r="T4">
        <v>1</v>
      </c>
      <c r="U4">
        <v>0</v>
      </c>
      <c r="V4">
        <v>2579400</v>
      </c>
      <c r="W4" t="s">
        <v>86</v>
      </c>
      <c r="X4" t="s">
        <v>95</v>
      </c>
      <c r="Y4" t="s">
        <v>88</v>
      </c>
      <c r="Z4" t="s">
        <v>89</v>
      </c>
      <c r="AA4">
        <v>1</v>
      </c>
      <c r="AB4">
        <v>0</v>
      </c>
      <c r="AC4">
        <v>2964000</v>
      </c>
      <c r="AD4" t="s">
        <v>90</v>
      </c>
      <c r="AE4">
        <v>4</v>
      </c>
      <c r="AF4">
        <v>0</v>
      </c>
      <c r="AG4" t="s">
        <v>53</v>
      </c>
      <c r="AH4" t="s">
        <v>72</v>
      </c>
      <c r="AI4" t="s">
        <v>73</v>
      </c>
      <c r="AJ4" t="s">
        <v>74</v>
      </c>
      <c r="AK4" t="s">
        <v>56</v>
      </c>
      <c r="AL4">
        <v>1</v>
      </c>
      <c r="AM4">
        <v>0</v>
      </c>
      <c r="AN4" t="s">
        <v>89</v>
      </c>
      <c r="AO4" s="4" t="s">
        <v>88</v>
      </c>
      <c r="AP4" t="s">
        <v>86</v>
      </c>
      <c r="AQ4" t="s">
        <v>96</v>
      </c>
      <c r="AR4" t="s">
        <v>95</v>
      </c>
      <c r="AS4">
        <v>2579400</v>
      </c>
      <c r="AT4" t="s">
        <v>959</v>
      </c>
      <c r="AU4">
        <v>3</v>
      </c>
    </row>
    <row r="5" spans="1:48" x14ac:dyDescent="0.3">
      <c r="A5" t="s">
        <v>97</v>
      </c>
      <c r="B5" t="s">
        <v>98</v>
      </c>
      <c r="C5" t="s">
        <v>78</v>
      </c>
      <c r="D5" t="s">
        <v>79</v>
      </c>
      <c r="E5" t="s">
        <v>80</v>
      </c>
      <c r="F5" t="s">
        <v>99</v>
      </c>
      <c r="G5">
        <v>3</v>
      </c>
      <c r="H5">
        <v>10</v>
      </c>
      <c r="I5" t="s">
        <v>962</v>
      </c>
      <c r="J5" t="s">
        <v>966</v>
      </c>
      <c r="K5" t="s">
        <v>81</v>
      </c>
      <c r="L5" t="str">
        <f t="shared" si="0"/>
        <v>Sdri. Felicia Tasmica Izzatudina, S.T.</v>
      </c>
      <c r="M5" t="s">
        <v>100</v>
      </c>
      <c r="N5">
        <v>2873500</v>
      </c>
      <c r="O5" t="s">
        <v>82</v>
      </c>
      <c r="P5" t="s">
        <v>83</v>
      </c>
      <c r="Q5" t="s">
        <v>101</v>
      </c>
      <c r="R5" t="s">
        <v>85</v>
      </c>
      <c r="S5" t="s">
        <v>50</v>
      </c>
      <c r="T5">
        <v>2</v>
      </c>
      <c r="U5">
        <v>0</v>
      </c>
      <c r="V5">
        <v>2579400</v>
      </c>
      <c r="W5" t="s">
        <v>86</v>
      </c>
      <c r="X5" t="s">
        <v>102</v>
      </c>
      <c r="Y5" t="s">
        <v>88</v>
      </c>
      <c r="Z5" t="s">
        <v>89</v>
      </c>
      <c r="AA5">
        <v>1</v>
      </c>
      <c r="AB5">
        <v>0</v>
      </c>
      <c r="AC5">
        <v>2964000</v>
      </c>
      <c r="AD5" t="s">
        <v>90</v>
      </c>
      <c r="AE5">
        <v>4</v>
      </c>
      <c r="AF5">
        <v>0</v>
      </c>
      <c r="AG5" t="s">
        <v>53</v>
      </c>
      <c r="AH5" t="s">
        <v>72</v>
      </c>
      <c r="AI5" t="s">
        <v>73</v>
      </c>
      <c r="AJ5" t="s">
        <v>74</v>
      </c>
      <c r="AK5" t="s">
        <v>56</v>
      </c>
      <c r="AL5">
        <v>2</v>
      </c>
      <c r="AM5">
        <v>0</v>
      </c>
      <c r="AN5" t="s">
        <v>50</v>
      </c>
      <c r="AO5" s="4" t="s">
        <v>85</v>
      </c>
      <c r="AP5" t="s">
        <v>82</v>
      </c>
      <c r="AQ5" t="s">
        <v>57</v>
      </c>
      <c r="AR5" t="s">
        <v>101</v>
      </c>
      <c r="AS5">
        <v>2873500</v>
      </c>
      <c r="AT5" t="s">
        <v>83</v>
      </c>
      <c r="AU5">
        <v>2</v>
      </c>
    </row>
    <row r="6" spans="1:48" x14ac:dyDescent="0.3">
      <c r="A6" t="s">
        <v>103</v>
      </c>
      <c r="B6" t="s">
        <v>104</v>
      </c>
      <c r="C6" t="s">
        <v>78</v>
      </c>
      <c r="D6" t="s">
        <v>79</v>
      </c>
      <c r="E6" t="s">
        <v>80</v>
      </c>
      <c r="F6" t="s">
        <v>99</v>
      </c>
      <c r="G6">
        <v>3</v>
      </c>
      <c r="H6">
        <v>10</v>
      </c>
      <c r="I6" t="s">
        <v>962</v>
      </c>
      <c r="J6" t="s">
        <v>967</v>
      </c>
      <c r="K6" t="s">
        <v>81</v>
      </c>
      <c r="L6" t="str">
        <f t="shared" si="0"/>
        <v>Sdri. Gandhes Faizah Ramadhani, S.T.</v>
      </c>
      <c r="M6" t="s">
        <v>100</v>
      </c>
      <c r="N6">
        <v>2873500</v>
      </c>
      <c r="O6" t="s">
        <v>82</v>
      </c>
      <c r="P6" t="s">
        <v>83</v>
      </c>
      <c r="Q6" t="s">
        <v>105</v>
      </c>
      <c r="R6" t="s">
        <v>106</v>
      </c>
      <c r="S6" t="s">
        <v>50</v>
      </c>
      <c r="T6">
        <v>2</v>
      </c>
      <c r="U6">
        <v>0</v>
      </c>
      <c r="V6">
        <v>2579400</v>
      </c>
      <c r="W6" t="s">
        <v>86</v>
      </c>
      <c r="X6" t="s">
        <v>107</v>
      </c>
      <c r="Y6" t="s">
        <v>88</v>
      </c>
      <c r="Z6" t="s">
        <v>89</v>
      </c>
      <c r="AA6">
        <v>1</v>
      </c>
      <c r="AB6">
        <v>0</v>
      </c>
      <c r="AC6">
        <v>2964000</v>
      </c>
      <c r="AD6" t="s">
        <v>90</v>
      </c>
      <c r="AE6">
        <v>4</v>
      </c>
      <c r="AF6">
        <v>0</v>
      </c>
      <c r="AG6" t="s">
        <v>53</v>
      </c>
      <c r="AH6" t="s">
        <v>72</v>
      </c>
      <c r="AI6" t="s">
        <v>73</v>
      </c>
      <c r="AJ6" t="s">
        <v>74</v>
      </c>
      <c r="AK6" t="s">
        <v>56</v>
      </c>
      <c r="AL6">
        <v>2</v>
      </c>
      <c r="AM6">
        <v>0</v>
      </c>
      <c r="AN6" t="s">
        <v>50</v>
      </c>
      <c r="AO6" s="4" t="s">
        <v>106</v>
      </c>
      <c r="AP6" t="s">
        <v>82</v>
      </c>
      <c r="AQ6" t="s">
        <v>57</v>
      </c>
      <c r="AR6" t="s">
        <v>105</v>
      </c>
      <c r="AS6">
        <v>2873500</v>
      </c>
      <c r="AT6" t="s">
        <v>83</v>
      </c>
      <c r="AU6">
        <v>2</v>
      </c>
    </row>
    <row r="7" spans="1:48" x14ac:dyDescent="0.3">
      <c r="A7" t="s">
        <v>108</v>
      </c>
      <c r="B7" t="s">
        <v>109</v>
      </c>
      <c r="C7" t="s">
        <v>78</v>
      </c>
      <c r="D7" t="s">
        <v>79</v>
      </c>
      <c r="E7" t="s">
        <v>80</v>
      </c>
      <c r="F7" t="s">
        <v>99</v>
      </c>
      <c r="G7">
        <v>3</v>
      </c>
      <c r="H7">
        <v>10</v>
      </c>
      <c r="I7" t="s">
        <v>962</v>
      </c>
      <c r="J7" t="s">
        <v>968</v>
      </c>
      <c r="K7" t="s">
        <v>48</v>
      </c>
      <c r="L7" t="str">
        <f t="shared" si="0"/>
        <v>Sdr. I Nengah Gandi Wirotama, S.T.</v>
      </c>
      <c r="M7" t="s">
        <v>100</v>
      </c>
      <c r="N7">
        <v>2873500</v>
      </c>
      <c r="O7" t="s">
        <v>82</v>
      </c>
      <c r="P7" t="s">
        <v>83</v>
      </c>
      <c r="Q7" t="s">
        <v>110</v>
      </c>
      <c r="R7" t="s">
        <v>111</v>
      </c>
      <c r="S7" t="s">
        <v>50</v>
      </c>
      <c r="T7">
        <v>2</v>
      </c>
      <c r="U7">
        <v>0</v>
      </c>
      <c r="V7">
        <v>2579400</v>
      </c>
      <c r="W7" t="s">
        <v>86</v>
      </c>
      <c r="X7" t="s">
        <v>112</v>
      </c>
      <c r="Y7" t="s">
        <v>88</v>
      </c>
      <c r="Z7" t="s">
        <v>89</v>
      </c>
      <c r="AA7">
        <v>1</v>
      </c>
      <c r="AB7">
        <v>0</v>
      </c>
      <c r="AC7">
        <v>2964000</v>
      </c>
      <c r="AD7" t="s">
        <v>90</v>
      </c>
      <c r="AE7">
        <v>4</v>
      </c>
      <c r="AF7">
        <v>0</v>
      </c>
      <c r="AG7" t="s">
        <v>53</v>
      </c>
      <c r="AH7" t="s">
        <v>72</v>
      </c>
      <c r="AI7" t="s">
        <v>73</v>
      </c>
      <c r="AJ7" t="s">
        <v>74</v>
      </c>
      <c r="AK7" t="s">
        <v>56</v>
      </c>
      <c r="AL7">
        <v>2</v>
      </c>
      <c r="AM7">
        <v>0</v>
      </c>
      <c r="AN7" t="s">
        <v>50</v>
      </c>
      <c r="AO7" s="4" t="s">
        <v>111</v>
      </c>
      <c r="AP7" t="s">
        <v>82</v>
      </c>
      <c r="AQ7" t="s">
        <v>57</v>
      </c>
      <c r="AR7" t="s">
        <v>110</v>
      </c>
      <c r="AS7">
        <v>2873500</v>
      </c>
      <c r="AT7" t="s">
        <v>83</v>
      </c>
      <c r="AU7">
        <v>2</v>
      </c>
    </row>
    <row r="8" spans="1:48" x14ac:dyDescent="0.3">
      <c r="A8" t="s">
        <v>113</v>
      </c>
      <c r="B8" t="s">
        <v>114</v>
      </c>
      <c r="C8" t="s">
        <v>78</v>
      </c>
      <c r="D8" t="s">
        <v>79</v>
      </c>
      <c r="E8" t="s">
        <v>80</v>
      </c>
      <c r="F8" t="s">
        <v>99</v>
      </c>
      <c r="G8">
        <v>3</v>
      </c>
      <c r="H8">
        <v>10</v>
      </c>
      <c r="I8" t="s">
        <v>962</v>
      </c>
      <c r="J8" t="s">
        <v>969</v>
      </c>
      <c r="K8" t="s">
        <v>48</v>
      </c>
      <c r="L8" t="str">
        <f t="shared" si="0"/>
        <v>Sdr. I Putu Eka Darmawan, S.T.</v>
      </c>
      <c r="M8" t="s">
        <v>100</v>
      </c>
      <c r="N8">
        <v>2873500</v>
      </c>
      <c r="O8" t="s">
        <v>82</v>
      </c>
      <c r="P8" t="s">
        <v>83</v>
      </c>
      <c r="Q8" t="s">
        <v>115</v>
      </c>
      <c r="R8" t="s">
        <v>111</v>
      </c>
      <c r="S8" t="s">
        <v>50</v>
      </c>
      <c r="T8">
        <v>2</v>
      </c>
      <c r="U8">
        <v>0</v>
      </c>
      <c r="V8">
        <v>2579400</v>
      </c>
      <c r="W8" t="s">
        <v>86</v>
      </c>
      <c r="X8" t="s">
        <v>116</v>
      </c>
      <c r="Y8" t="s">
        <v>88</v>
      </c>
      <c r="Z8" t="s">
        <v>89</v>
      </c>
      <c r="AA8">
        <v>1</v>
      </c>
      <c r="AB8">
        <v>0</v>
      </c>
      <c r="AC8">
        <v>2964000</v>
      </c>
      <c r="AD8" t="s">
        <v>90</v>
      </c>
      <c r="AE8">
        <v>4</v>
      </c>
      <c r="AF8">
        <v>0</v>
      </c>
      <c r="AG8" t="s">
        <v>53</v>
      </c>
      <c r="AH8" t="s">
        <v>72</v>
      </c>
      <c r="AI8" t="s">
        <v>73</v>
      </c>
      <c r="AJ8" t="s">
        <v>74</v>
      </c>
      <c r="AK8" t="s">
        <v>56</v>
      </c>
      <c r="AL8">
        <v>2</v>
      </c>
      <c r="AM8">
        <v>0</v>
      </c>
      <c r="AN8" t="s">
        <v>50</v>
      </c>
      <c r="AO8" s="4" t="s">
        <v>111</v>
      </c>
      <c r="AP8" t="s">
        <v>82</v>
      </c>
      <c r="AQ8" t="s">
        <v>57</v>
      </c>
      <c r="AR8" t="s">
        <v>115</v>
      </c>
      <c r="AS8">
        <v>2873500</v>
      </c>
      <c r="AT8" t="s">
        <v>83</v>
      </c>
      <c r="AU8">
        <v>2</v>
      </c>
    </row>
    <row r="9" spans="1:48" x14ac:dyDescent="0.3">
      <c r="A9" t="s">
        <v>117</v>
      </c>
      <c r="B9" t="s">
        <v>118</v>
      </c>
      <c r="C9" t="s">
        <v>78</v>
      </c>
      <c r="D9" t="s">
        <v>79</v>
      </c>
      <c r="E9" t="s">
        <v>80</v>
      </c>
      <c r="F9" t="s">
        <v>99</v>
      </c>
      <c r="G9">
        <v>3</v>
      </c>
      <c r="H9">
        <v>10</v>
      </c>
      <c r="I9" t="s">
        <v>962</v>
      </c>
      <c r="J9" t="s">
        <v>970</v>
      </c>
      <c r="K9" t="s">
        <v>81</v>
      </c>
      <c r="L9" t="str">
        <f t="shared" si="0"/>
        <v>Sdri. Isna Saadah, S.Tr.T</v>
      </c>
      <c r="M9" t="s">
        <v>100</v>
      </c>
      <c r="N9">
        <v>2873500</v>
      </c>
      <c r="O9" t="s">
        <v>82</v>
      </c>
      <c r="P9" t="s">
        <v>119</v>
      </c>
      <c r="Q9" t="s">
        <v>120</v>
      </c>
      <c r="R9" t="s">
        <v>106</v>
      </c>
      <c r="S9" t="s">
        <v>50</v>
      </c>
      <c r="T9">
        <v>2</v>
      </c>
      <c r="U9">
        <v>0</v>
      </c>
      <c r="V9">
        <v>2579400</v>
      </c>
      <c r="W9" t="s">
        <v>86</v>
      </c>
      <c r="X9" t="s">
        <v>121</v>
      </c>
      <c r="Y9" t="s">
        <v>88</v>
      </c>
      <c r="Z9" t="s">
        <v>89</v>
      </c>
      <c r="AA9">
        <v>1</v>
      </c>
      <c r="AB9">
        <v>0</v>
      </c>
      <c r="AC9">
        <v>2964000</v>
      </c>
      <c r="AD9" t="s">
        <v>90</v>
      </c>
      <c r="AE9">
        <v>4</v>
      </c>
      <c r="AF9">
        <v>0</v>
      </c>
      <c r="AG9" t="s">
        <v>53</v>
      </c>
      <c r="AH9" t="s">
        <v>72</v>
      </c>
      <c r="AI9" t="s">
        <v>73</v>
      </c>
      <c r="AJ9" t="s">
        <v>74</v>
      </c>
      <c r="AK9" t="s">
        <v>56</v>
      </c>
      <c r="AL9">
        <v>2</v>
      </c>
      <c r="AM9">
        <v>0</v>
      </c>
      <c r="AN9" t="s">
        <v>50</v>
      </c>
      <c r="AO9" s="4" t="s">
        <v>106</v>
      </c>
      <c r="AP9" t="s">
        <v>82</v>
      </c>
      <c r="AQ9" t="s">
        <v>57</v>
      </c>
      <c r="AR9" t="s">
        <v>120</v>
      </c>
      <c r="AS9">
        <v>2873500</v>
      </c>
      <c r="AT9" t="s">
        <v>83</v>
      </c>
      <c r="AU9">
        <v>2</v>
      </c>
    </row>
    <row r="10" spans="1:48" x14ac:dyDescent="0.3">
      <c r="A10" t="s">
        <v>122</v>
      </c>
      <c r="B10" t="s">
        <v>123</v>
      </c>
      <c r="C10" t="s">
        <v>78</v>
      </c>
      <c r="D10" t="s">
        <v>79</v>
      </c>
      <c r="E10" t="s">
        <v>80</v>
      </c>
      <c r="F10" t="s">
        <v>99</v>
      </c>
      <c r="G10">
        <v>3</v>
      </c>
      <c r="H10">
        <v>10</v>
      </c>
      <c r="I10" t="s">
        <v>962</v>
      </c>
      <c r="J10" t="s">
        <v>971</v>
      </c>
      <c r="K10" t="s">
        <v>48</v>
      </c>
      <c r="L10" t="str">
        <f t="shared" si="0"/>
        <v>Sdr. Muhammad Hafiz Ratu Agung, S.T.</v>
      </c>
      <c r="M10" t="s">
        <v>100</v>
      </c>
      <c r="N10">
        <v>2873500</v>
      </c>
      <c r="O10" t="s">
        <v>82</v>
      </c>
      <c r="P10" t="s">
        <v>83</v>
      </c>
      <c r="Q10" t="s">
        <v>124</v>
      </c>
      <c r="R10" t="s">
        <v>111</v>
      </c>
      <c r="S10" t="s">
        <v>50</v>
      </c>
      <c r="T10">
        <v>2</v>
      </c>
      <c r="U10">
        <v>0</v>
      </c>
      <c r="V10">
        <v>2579400</v>
      </c>
      <c r="W10" t="s">
        <v>86</v>
      </c>
      <c r="X10" t="s">
        <v>125</v>
      </c>
      <c r="Y10" t="s">
        <v>88</v>
      </c>
      <c r="Z10" t="s">
        <v>89</v>
      </c>
      <c r="AA10">
        <v>1</v>
      </c>
      <c r="AB10">
        <v>0</v>
      </c>
      <c r="AC10">
        <v>2964000</v>
      </c>
      <c r="AD10" t="s">
        <v>90</v>
      </c>
      <c r="AE10">
        <v>4</v>
      </c>
      <c r="AF10">
        <v>0</v>
      </c>
      <c r="AG10" t="s">
        <v>53</v>
      </c>
      <c r="AH10" t="s">
        <v>72</v>
      </c>
      <c r="AI10" t="s">
        <v>73</v>
      </c>
      <c r="AJ10" t="s">
        <v>74</v>
      </c>
      <c r="AK10" t="s">
        <v>56</v>
      </c>
      <c r="AL10">
        <v>2</v>
      </c>
      <c r="AM10">
        <v>0</v>
      </c>
      <c r="AN10" t="s">
        <v>50</v>
      </c>
      <c r="AO10" s="4" t="s">
        <v>111</v>
      </c>
      <c r="AP10" t="s">
        <v>82</v>
      </c>
      <c r="AQ10" t="s">
        <v>57</v>
      </c>
      <c r="AR10" t="s">
        <v>124</v>
      </c>
      <c r="AS10">
        <v>2873500</v>
      </c>
      <c r="AT10" t="s">
        <v>83</v>
      </c>
      <c r="AU10">
        <v>2</v>
      </c>
    </row>
    <row r="11" spans="1:48" x14ac:dyDescent="0.3">
      <c r="A11" t="s">
        <v>126</v>
      </c>
      <c r="B11" t="s">
        <v>127</v>
      </c>
      <c r="C11" t="s">
        <v>78</v>
      </c>
      <c r="D11" t="s">
        <v>79</v>
      </c>
      <c r="E11" t="s">
        <v>80</v>
      </c>
      <c r="F11" t="s">
        <v>99</v>
      </c>
      <c r="G11">
        <v>3</v>
      </c>
      <c r="H11">
        <v>10</v>
      </c>
      <c r="I11" t="s">
        <v>962</v>
      </c>
      <c r="J11" t="s">
        <v>972</v>
      </c>
      <c r="K11" t="s">
        <v>81</v>
      </c>
      <c r="L11" t="str">
        <f t="shared" si="0"/>
        <v>Sdri. Ni Made Ayu Wulandari, S.T.</v>
      </c>
      <c r="M11" t="s">
        <v>100</v>
      </c>
      <c r="N11">
        <v>2873500</v>
      </c>
      <c r="O11" t="s">
        <v>82</v>
      </c>
      <c r="P11" t="s">
        <v>83</v>
      </c>
      <c r="Q11" t="s">
        <v>128</v>
      </c>
      <c r="R11" t="s">
        <v>129</v>
      </c>
      <c r="S11" t="s">
        <v>50</v>
      </c>
      <c r="T11">
        <v>2</v>
      </c>
      <c r="U11">
        <v>0</v>
      </c>
      <c r="V11">
        <v>2579400</v>
      </c>
      <c r="W11" t="s">
        <v>86</v>
      </c>
      <c r="X11" t="s">
        <v>130</v>
      </c>
      <c r="Y11" t="s">
        <v>88</v>
      </c>
      <c r="Z11" t="s">
        <v>89</v>
      </c>
      <c r="AA11">
        <v>1</v>
      </c>
      <c r="AB11">
        <v>0</v>
      </c>
      <c r="AC11">
        <v>2964000</v>
      </c>
      <c r="AD11" t="s">
        <v>90</v>
      </c>
      <c r="AE11">
        <v>4</v>
      </c>
      <c r="AF11">
        <v>0</v>
      </c>
      <c r="AG11" t="s">
        <v>53</v>
      </c>
      <c r="AH11" t="s">
        <v>72</v>
      </c>
      <c r="AI11" t="s">
        <v>73</v>
      </c>
      <c r="AJ11" t="s">
        <v>74</v>
      </c>
      <c r="AK11" t="s">
        <v>56</v>
      </c>
      <c r="AL11">
        <v>2</v>
      </c>
      <c r="AM11">
        <v>0</v>
      </c>
      <c r="AN11" t="s">
        <v>50</v>
      </c>
      <c r="AO11" s="4" t="s">
        <v>129</v>
      </c>
      <c r="AP11" t="s">
        <v>82</v>
      </c>
      <c r="AQ11" t="s">
        <v>57</v>
      </c>
      <c r="AR11" t="s">
        <v>128</v>
      </c>
      <c r="AS11">
        <v>2873500</v>
      </c>
      <c r="AT11" t="s">
        <v>83</v>
      </c>
      <c r="AU11">
        <v>2</v>
      </c>
    </row>
    <row r="12" spans="1:48" x14ac:dyDescent="0.3">
      <c r="A12" t="s">
        <v>131</v>
      </c>
      <c r="B12" t="s">
        <v>132</v>
      </c>
      <c r="C12" t="s">
        <v>78</v>
      </c>
      <c r="D12" t="s">
        <v>79</v>
      </c>
      <c r="E12" t="s">
        <v>80</v>
      </c>
      <c r="F12" t="s">
        <v>99</v>
      </c>
      <c r="G12">
        <v>3</v>
      </c>
      <c r="H12">
        <v>10</v>
      </c>
      <c r="I12" t="s">
        <v>962</v>
      </c>
      <c r="J12" t="s">
        <v>973</v>
      </c>
      <c r="K12" t="s">
        <v>48</v>
      </c>
      <c r="L12" t="str">
        <f t="shared" si="0"/>
        <v>Sdr. Rizal Dimas Aprelihandro, S.T.</v>
      </c>
      <c r="M12" t="s">
        <v>100</v>
      </c>
      <c r="N12">
        <v>2873500</v>
      </c>
      <c r="O12" t="s">
        <v>82</v>
      </c>
      <c r="P12" t="s">
        <v>83</v>
      </c>
      <c r="Q12" t="s">
        <v>133</v>
      </c>
      <c r="R12" t="s">
        <v>111</v>
      </c>
      <c r="S12" t="s">
        <v>50</v>
      </c>
      <c r="T12">
        <v>2</v>
      </c>
      <c r="U12">
        <v>0</v>
      </c>
      <c r="V12">
        <v>2579400</v>
      </c>
      <c r="W12" t="s">
        <v>86</v>
      </c>
      <c r="X12" t="s">
        <v>134</v>
      </c>
      <c r="Y12" t="s">
        <v>88</v>
      </c>
      <c r="Z12" t="s">
        <v>89</v>
      </c>
      <c r="AA12">
        <v>1</v>
      </c>
      <c r="AB12">
        <v>0</v>
      </c>
      <c r="AC12">
        <v>2964000</v>
      </c>
      <c r="AD12" t="s">
        <v>90</v>
      </c>
      <c r="AE12">
        <v>4</v>
      </c>
      <c r="AF12">
        <v>0</v>
      </c>
      <c r="AG12" t="s">
        <v>53</v>
      </c>
      <c r="AH12" t="s">
        <v>72</v>
      </c>
      <c r="AI12" t="s">
        <v>73</v>
      </c>
      <c r="AJ12" t="s">
        <v>74</v>
      </c>
      <c r="AK12" t="s">
        <v>56</v>
      </c>
      <c r="AL12">
        <v>2</v>
      </c>
      <c r="AM12">
        <v>0</v>
      </c>
      <c r="AN12" t="s">
        <v>50</v>
      </c>
      <c r="AO12" s="4" t="s">
        <v>111</v>
      </c>
      <c r="AP12" t="s">
        <v>82</v>
      </c>
      <c r="AQ12" t="s">
        <v>57</v>
      </c>
      <c r="AR12" t="s">
        <v>133</v>
      </c>
      <c r="AS12">
        <v>2873500</v>
      </c>
      <c r="AT12" t="s">
        <v>83</v>
      </c>
      <c r="AU12">
        <v>2</v>
      </c>
    </row>
    <row r="13" spans="1:48" x14ac:dyDescent="0.3">
      <c r="A13" t="s">
        <v>135</v>
      </c>
      <c r="B13" t="s">
        <v>136</v>
      </c>
      <c r="C13" t="s">
        <v>78</v>
      </c>
      <c r="D13" t="s">
        <v>79</v>
      </c>
      <c r="E13" t="s">
        <v>80</v>
      </c>
      <c r="F13" t="s">
        <v>137</v>
      </c>
      <c r="G13">
        <v>3</v>
      </c>
      <c r="H13">
        <v>10</v>
      </c>
      <c r="I13" t="s">
        <v>962</v>
      </c>
      <c r="J13" t="s">
        <v>974</v>
      </c>
      <c r="K13" t="s">
        <v>48</v>
      </c>
      <c r="L13" t="str">
        <f t="shared" si="0"/>
        <v>Sdr. Dinar Wicaksono, S.T.</v>
      </c>
      <c r="M13" t="s">
        <v>138</v>
      </c>
      <c r="N13">
        <v>2873500</v>
      </c>
      <c r="O13" t="s">
        <v>82</v>
      </c>
      <c r="P13" t="s">
        <v>83</v>
      </c>
      <c r="Q13" t="s">
        <v>139</v>
      </c>
      <c r="R13" t="s">
        <v>111</v>
      </c>
      <c r="S13" t="s">
        <v>50</v>
      </c>
      <c r="T13">
        <v>2</v>
      </c>
      <c r="U13">
        <v>0</v>
      </c>
      <c r="V13">
        <v>2579400</v>
      </c>
      <c r="W13" t="s">
        <v>86</v>
      </c>
      <c r="X13" t="s">
        <v>140</v>
      </c>
      <c r="Y13" t="s">
        <v>88</v>
      </c>
      <c r="Z13" t="s">
        <v>89</v>
      </c>
      <c r="AA13">
        <v>1</v>
      </c>
      <c r="AB13">
        <v>0</v>
      </c>
      <c r="AC13">
        <v>2964000</v>
      </c>
      <c r="AD13" t="s">
        <v>90</v>
      </c>
      <c r="AE13">
        <v>4</v>
      </c>
      <c r="AF13">
        <v>0</v>
      </c>
      <c r="AG13" t="s">
        <v>53</v>
      </c>
      <c r="AH13" t="s">
        <v>72</v>
      </c>
      <c r="AI13" t="s">
        <v>73</v>
      </c>
      <c r="AJ13" t="s">
        <v>74</v>
      </c>
      <c r="AK13" t="s">
        <v>56</v>
      </c>
      <c r="AL13">
        <v>2</v>
      </c>
      <c r="AM13">
        <v>0</v>
      </c>
      <c r="AN13" t="s">
        <v>50</v>
      </c>
      <c r="AO13" s="4" t="s">
        <v>111</v>
      </c>
      <c r="AP13" t="s">
        <v>82</v>
      </c>
      <c r="AQ13" t="s">
        <v>57</v>
      </c>
      <c r="AR13" t="s">
        <v>139</v>
      </c>
      <c r="AS13">
        <v>2873500</v>
      </c>
      <c r="AT13" t="s">
        <v>83</v>
      </c>
      <c r="AU13">
        <v>2</v>
      </c>
    </row>
    <row r="14" spans="1:48" x14ac:dyDescent="0.3">
      <c r="A14" t="s">
        <v>141</v>
      </c>
      <c r="B14" t="s">
        <v>142</v>
      </c>
      <c r="C14" t="s">
        <v>78</v>
      </c>
      <c r="D14" t="s">
        <v>79</v>
      </c>
      <c r="E14" t="s">
        <v>80</v>
      </c>
      <c r="F14" t="s">
        <v>137</v>
      </c>
      <c r="G14">
        <v>3</v>
      </c>
      <c r="H14">
        <v>10</v>
      </c>
      <c r="I14" t="s">
        <v>962</v>
      </c>
      <c r="J14" t="s">
        <v>975</v>
      </c>
      <c r="K14" t="s">
        <v>48</v>
      </c>
      <c r="L14" t="str">
        <f t="shared" si="0"/>
        <v>Sdr. I.P. Inrawan Tangkas, S.T.</v>
      </c>
      <c r="M14" t="s">
        <v>138</v>
      </c>
      <c r="N14">
        <v>2873500</v>
      </c>
      <c r="O14" t="s">
        <v>82</v>
      </c>
      <c r="P14" t="s">
        <v>83</v>
      </c>
      <c r="Q14" t="s">
        <v>143</v>
      </c>
      <c r="R14" t="s">
        <v>111</v>
      </c>
      <c r="S14" t="s">
        <v>50</v>
      </c>
      <c r="T14">
        <v>2</v>
      </c>
      <c r="U14">
        <v>0</v>
      </c>
      <c r="V14">
        <v>2579400</v>
      </c>
      <c r="W14" t="s">
        <v>86</v>
      </c>
      <c r="X14" t="s">
        <v>144</v>
      </c>
      <c r="Y14" t="s">
        <v>88</v>
      </c>
      <c r="Z14" t="s">
        <v>89</v>
      </c>
      <c r="AA14">
        <v>1</v>
      </c>
      <c r="AB14">
        <v>0</v>
      </c>
      <c r="AC14">
        <v>2964000</v>
      </c>
      <c r="AD14" t="s">
        <v>90</v>
      </c>
      <c r="AE14">
        <v>4</v>
      </c>
      <c r="AF14">
        <v>0</v>
      </c>
      <c r="AG14" t="s">
        <v>53</v>
      </c>
      <c r="AH14" t="s">
        <v>72</v>
      </c>
      <c r="AI14" t="s">
        <v>73</v>
      </c>
      <c r="AJ14" t="s">
        <v>74</v>
      </c>
      <c r="AK14" t="s">
        <v>56</v>
      </c>
      <c r="AL14">
        <v>2</v>
      </c>
      <c r="AM14">
        <v>0</v>
      </c>
      <c r="AN14" t="s">
        <v>50</v>
      </c>
      <c r="AO14" s="4" t="s">
        <v>111</v>
      </c>
      <c r="AP14" t="s">
        <v>82</v>
      </c>
      <c r="AQ14" t="s">
        <v>57</v>
      </c>
      <c r="AR14" t="s">
        <v>143</v>
      </c>
      <c r="AS14">
        <v>2873500</v>
      </c>
      <c r="AT14" t="s">
        <v>83</v>
      </c>
      <c r="AU14">
        <v>2</v>
      </c>
    </row>
    <row r="15" spans="1:48" x14ac:dyDescent="0.3">
      <c r="A15" t="s">
        <v>145</v>
      </c>
      <c r="B15" t="s">
        <v>146</v>
      </c>
      <c r="C15" t="s">
        <v>78</v>
      </c>
      <c r="D15" t="s">
        <v>79</v>
      </c>
      <c r="E15" t="s">
        <v>80</v>
      </c>
      <c r="F15" t="s">
        <v>137</v>
      </c>
      <c r="G15">
        <v>3</v>
      </c>
      <c r="H15">
        <v>10</v>
      </c>
      <c r="I15" t="s">
        <v>962</v>
      </c>
      <c r="J15" t="s">
        <v>976</v>
      </c>
      <c r="K15" t="s">
        <v>48</v>
      </c>
      <c r="L15" t="str">
        <f t="shared" si="0"/>
        <v>Sdr. Jhohanes Very Michael, S.Tr.T</v>
      </c>
      <c r="M15" t="s">
        <v>138</v>
      </c>
      <c r="N15">
        <v>2873500</v>
      </c>
      <c r="O15" t="s">
        <v>82</v>
      </c>
      <c r="P15" t="s">
        <v>83</v>
      </c>
      <c r="Q15" t="s">
        <v>147</v>
      </c>
      <c r="R15" t="s">
        <v>111</v>
      </c>
      <c r="S15" t="s">
        <v>50</v>
      </c>
      <c r="T15">
        <v>2</v>
      </c>
      <c r="U15">
        <v>0</v>
      </c>
      <c r="V15">
        <v>2579400</v>
      </c>
      <c r="W15" t="s">
        <v>86</v>
      </c>
      <c r="X15" t="s">
        <v>148</v>
      </c>
      <c r="Y15" t="s">
        <v>88</v>
      </c>
      <c r="Z15" t="s">
        <v>89</v>
      </c>
      <c r="AA15">
        <v>1</v>
      </c>
      <c r="AB15">
        <v>0</v>
      </c>
      <c r="AC15">
        <v>2964000</v>
      </c>
      <c r="AD15" t="s">
        <v>90</v>
      </c>
      <c r="AE15">
        <v>4</v>
      </c>
      <c r="AF15">
        <v>0</v>
      </c>
      <c r="AG15" t="s">
        <v>53</v>
      </c>
      <c r="AH15" t="s">
        <v>72</v>
      </c>
      <c r="AI15" t="s">
        <v>73</v>
      </c>
      <c r="AJ15" t="s">
        <v>74</v>
      </c>
      <c r="AK15" t="s">
        <v>56</v>
      </c>
      <c r="AL15">
        <v>2</v>
      </c>
      <c r="AM15">
        <v>0</v>
      </c>
      <c r="AN15" t="s">
        <v>50</v>
      </c>
      <c r="AO15" s="4" t="s">
        <v>111</v>
      </c>
      <c r="AP15" t="s">
        <v>82</v>
      </c>
      <c r="AQ15" t="s">
        <v>57</v>
      </c>
      <c r="AR15" t="s">
        <v>147</v>
      </c>
      <c r="AS15">
        <v>2873500</v>
      </c>
      <c r="AT15" t="s">
        <v>83</v>
      </c>
      <c r="AU15">
        <v>2</v>
      </c>
    </row>
    <row r="16" spans="1:48" x14ac:dyDescent="0.3">
      <c r="A16" t="s">
        <v>149</v>
      </c>
      <c r="B16" t="s">
        <v>150</v>
      </c>
      <c r="C16" t="s">
        <v>78</v>
      </c>
      <c r="D16" t="s">
        <v>79</v>
      </c>
      <c r="E16" t="s">
        <v>80</v>
      </c>
      <c r="F16" t="s">
        <v>137</v>
      </c>
      <c r="G16">
        <v>3</v>
      </c>
      <c r="H16">
        <v>10</v>
      </c>
      <c r="I16" t="s">
        <v>962</v>
      </c>
      <c r="J16" t="s">
        <v>977</v>
      </c>
      <c r="K16" t="s">
        <v>48</v>
      </c>
      <c r="L16" t="str">
        <f t="shared" si="0"/>
        <v>Sdr. Muhammad Gilang Indra, S.T.</v>
      </c>
      <c r="M16" t="s">
        <v>138</v>
      </c>
      <c r="N16">
        <v>2873500</v>
      </c>
      <c r="O16" t="s">
        <v>82</v>
      </c>
      <c r="P16" t="s">
        <v>83</v>
      </c>
      <c r="Q16" t="s">
        <v>151</v>
      </c>
      <c r="R16" t="s">
        <v>129</v>
      </c>
      <c r="S16" t="s">
        <v>50</v>
      </c>
      <c r="T16">
        <v>2</v>
      </c>
      <c r="U16">
        <v>0</v>
      </c>
      <c r="V16">
        <v>2579400</v>
      </c>
      <c r="W16" t="s">
        <v>86</v>
      </c>
      <c r="X16" t="s">
        <v>152</v>
      </c>
      <c r="Y16" t="s">
        <v>88</v>
      </c>
      <c r="Z16" t="s">
        <v>89</v>
      </c>
      <c r="AA16">
        <v>1</v>
      </c>
      <c r="AB16">
        <v>0</v>
      </c>
      <c r="AC16">
        <v>2964000</v>
      </c>
      <c r="AD16" t="s">
        <v>90</v>
      </c>
      <c r="AE16">
        <v>4</v>
      </c>
      <c r="AF16">
        <v>0</v>
      </c>
      <c r="AG16" t="s">
        <v>53</v>
      </c>
      <c r="AH16" t="s">
        <v>72</v>
      </c>
      <c r="AI16" t="s">
        <v>73</v>
      </c>
      <c r="AJ16" t="s">
        <v>74</v>
      </c>
      <c r="AK16" t="s">
        <v>56</v>
      </c>
      <c r="AL16">
        <v>2</v>
      </c>
      <c r="AM16">
        <v>0</v>
      </c>
      <c r="AN16" t="s">
        <v>50</v>
      </c>
      <c r="AO16" s="4" t="s">
        <v>129</v>
      </c>
      <c r="AP16" t="s">
        <v>82</v>
      </c>
      <c r="AQ16" t="s">
        <v>57</v>
      </c>
      <c r="AR16" t="s">
        <v>151</v>
      </c>
      <c r="AS16">
        <v>2873500</v>
      </c>
      <c r="AT16" t="s">
        <v>83</v>
      </c>
      <c r="AU16">
        <v>2</v>
      </c>
    </row>
    <row r="17" spans="1:47" x14ac:dyDescent="0.3">
      <c r="A17" t="s">
        <v>153</v>
      </c>
      <c r="B17" t="s">
        <v>154</v>
      </c>
      <c r="C17" t="s">
        <v>78</v>
      </c>
      <c r="D17" t="s">
        <v>79</v>
      </c>
      <c r="E17" t="s">
        <v>80</v>
      </c>
      <c r="F17" t="s">
        <v>137</v>
      </c>
      <c r="G17">
        <v>3</v>
      </c>
      <c r="H17">
        <v>10</v>
      </c>
      <c r="I17" t="s">
        <v>962</v>
      </c>
      <c r="J17" t="s">
        <v>978</v>
      </c>
      <c r="K17" t="s">
        <v>81</v>
      </c>
      <c r="L17" t="str">
        <f t="shared" si="0"/>
        <v>Sdri. Sintia Agustina, S.T.</v>
      </c>
      <c r="M17" t="s">
        <v>138</v>
      </c>
      <c r="N17">
        <v>2873500</v>
      </c>
      <c r="O17" t="s">
        <v>82</v>
      </c>
      <c r="P17" t="s">
        <v>155</v>
      </c>
      <c r="Q17" t="s">
        <v>156</v>
      </c>
      <c r="R17" t="s">
        <v>85</v>
      </c>
      <c r="S17" t="s">
        <v>157</v>
      </c>
      <c r="T17">
        <v>2</v>
      </c>
      <c r="U17">
        <v>0</v>
      </c>
      <c r="V17">
        <v>2579400</v>
      </c>
      <c r="W17" t="s">
        <v>86</v>
      </c>
      <c r="X17" t="s">
        <v>158</v>
      </c>
      <c r="Y17" t="s">
        <v>88</v>
      </c>
      <c r="Z17" t="s">
        <v>89</v>
      </c>
      <c r="AA17">
        <v>1</v>
      </c>
      <c r="AB17">
        <v>0</v>
      </c>
      <c r="AC17">
        <v>2964000</v>
      </c>
      <c r="AD17" t="s">
        <v>90</v>
      </c>
      <c r="AE17">
        <v>4</v>
      </c>
      <c r="AF17">
        <v>0</v>
      </c>
      <c r="AG17" t="s">
        <v>53</v>
      </c>
      <c r="AH17" t="s">
        <v>72</v>
      </c>
      <c r="AI17" t="s">
        <v>73</v>
      </c>
      <c r="AJ17" t="s">
        <v>74</v>
      </c>
      <c r="AK17" t="s">
        <v>56</v>
      </c>
      <c r="AL17">
        <v>2</v>
      </c>
      <c r="AM17">
        <v>0</v>
      </c>
      <c r="AN17" t="s">
        <v>157</v>
      </c>
      <c r="AO17" s="4" t="s">
        <v>85</v>
      </c>
      <c r="AP17" t="s">
        <v>82</v>
      </c>
      <c r="AQ17" t="s">
        <v>159</v>
      </c>
      <c r="AR17" t="s">
        <v>156</v>
      </c>
      <c r="AS17">
        <v>2873500</v>
      </c>
      <c r="AT17" t="s">
        <v>83</v>
      </c>
      <c r="AU17">
        <v>2</v>
      </c>
    </row>
    <row r="18" spans="1:47" x14ac:dyDescent="0.3">
      <c r="A18" t="s">
        <v>160</v>
      </c>
      <c r="B18" t="s">
        <v>161</v>
      </c>
      <c r="C18" t="s">
        <v>78</v>
      </c>
      <c r="D18" t="s">
        <v>79</v>
      </c>
      <c r="E18" t="s">
        <v>80</v>
      </c>
      <c r="F18" t="s">
        <v>162</v>
      </c>
      <c r="G18">
        <v>3</v>
      </c>
      <c r="H18">
        <v>10</v>
      </c>
      <c r="I18" t="s">
        <v>962</v>
      </c>
      <c r="J18" t="s">
        <v>979</v>
      </c>
      <c r="K18" t="s">
        <v>48</v>
      </c>
      <c r="L18" t="str">
        <f t="shared" si="0"/>
        <v>Sdr. Ricardo Pranata Sinuhaji, S.T.</v>
      </c>
      <c r="M18" t="s">
        <v>163</v>
      </c>
      <c r="N18">
        <v>2873500</v>
      </c>
      <c r="O18" t="s">
        <v>82</v>
      </c>
      <c r="P18" t="s">
        <v>83</v>
      </c>
      <c r="Q18" t="s">
        <v>164</v>
      </c>
      <c r="R18" t="s">
        <v>111</v>
      </c>
      <c r="S18" t="s">
        <v>50</v>
      </c>
      <c r="T18">
        <v>2</v>
      </c>
      <c r="U18">
        <v>0</v>
      </c>
      <c r="V18">
        <v>2579400</v>
      </c>
      <c r="W18" t="s">
        <v>86</v>
      </c>
      <c r="X18" t="s">
        <v>165</v>
      </c>
      <c r="Y18" t="s">
        <v>88</v>
      </c>
      <c r="Z18" t="s">
        <v>89</v>
      </c>
      <c r="AA18">
        <v>1</v>
      </c>
      <c r="AB18">
        <v>0</v>
      </c>
      <c r="AC18">
        <v>2964000</v>
      </c>
      <c r="AD18" t="s">
        <v>90</v>
      </c>
      <c r="AE18">
        <v>4</v>
      </c>
      <c r="AF18">
        <v>0</v>
      </c>
      <c r="AG18" t="s">
        <v>53</v>
      </c>
      <c r="AH18" t="s">
        <v>72</v>
      </c>
      <c r="AI18" t="s">
        <v>73</v>
      </c>
      <c r="AJ18" t="s">
        <v>74</v>
      </c>
      <c r="AK18" t="s">
        <v>56</v>
      </c>
      <c r="AL18">
        <v>2</v>
      </c>
      <c r="AM18">
        <v>0</v>
      </c>
      <c r="AN18" t="s">
        <v>50</v>
      </c>
      <c r="AO18" s="4" t="s">
        <v>111</v>
      </c>
      <c r="AP18" t="s">
        <v>82</v>
      </c>
      <c r="AQ18" t="s">
        <v>57</v>
      </c>
      <c r="AR18" t="s">
        <v>164</v>
      </c>
      <c r="AS18">
        <v>2873500</v>
      </c>
      <c r="AT18" t="s">
        <v>83</v>
      </c>
      <c r="AU18">
        <v>2</v>
      </c>
    </row>
    <row r="19" spans="1:47" x14ac:dyDescent="0.3">
      <c r="A19" t="s">
        <v>166</v>
      </c>
      <c r="B19" t="s">
        <v>167</v>
      </c>
      <c r="C19" t="s">
        <v>78</v>
      </c>
      <c r="D19" t="s">
        <v>79</v>
      </c>
      <c r="E19" t="s">
        <v>80</v>
      </c>
      <c r="F19" t="s">
        <v>168</v>
      </c>
      <c r="G19">
        <v>3</v>
      </c>
      <c r="H19">
        <v>10</v>
      </c>
      <c r="I19" t="s">
        <v>985</v>
      </c>
      <c r="J19" t="s">
        <v>986</v>
      </c>
      <c r="K19" t="s">
        <v>81</v>
      </c>
      <c r="M19" t="s">
        <v>169</v>
      </c>
      <c r="N19">
        <v>2873500</v>
      </c>
      <c r="O19" t="s">
        <v>82</v>
      </c>
      <c r="P19" t="s">
        <v>119</v>
      </c>
      <c r="Q19" t="s">
        <v>170</v>
      </c>
      <c r="R19" t="s">
        <v>171</v>
      </c>
      <c r="S19" t="s">
        <v>50</v>
      </c>
      <c r="T19">
        <v>2</v>
      </c>
      <c r="U19">
        <v>0</v>
      </c>
      <c r="V19">
        <v>2579400</v>
      </c>
      <c r="W19" t="s">
        <v>86</v>
      </c>
      <c r="X19" t="s">
        <v>172</v>
      </c>
      <c r="Y19" t="s">
        <v>88</v>
      </c>
      <c r="Z19" t="s">
        <v>89</v>
      </c>
      <c r="AA19">
        <v>1</v>
      </c>
      <c r="AB19">
        <v>0</v>
      </c>
      <c r="AC19">
        <v>2964000</v>
      </c>
      <c r="AD19" t="s">
        <v>90</v>
      </c>
      <c r="AE19">
        <v>4</v>
      </c>
      <c r="AF19">
        <v>0</v>
      </c>
      <c r="AG19" t="s">
        <v>53</v>
      </c>
      <c r="AH19" t="s">
        <v>72</v>
      </c>
      <c r="AI19" t="s">
        <v>73</v>
      </c>
      <c r="AJ19" t="s">
        <v>74</v>
      </c>
      <c r="AK19" t="s">
        <v>56</v>
      </c>
      <c r="AL19">
        <v>2</v>
      </c>
      <c r="AM19">
        <v>0</v>
      </c>
      <c r="AN19" t="s">
        <v>50</v>
      </c>
      <c r="AO19" s="4" t="s">
        <v>171</v>
      </c>
      <c r="AP19" t="s">
        <v>82</v>
      </c>
      <c r="AQ19" t="s">
        <v>57</v>
      </c>
      <c r="AR19" t="s">
        <v>170</v>
      </c>
      <c r="AS19">
        <v>2873500</v>
      </c>
      <c r="AT19" t="s">
        <v>83</v>
      </c>
      <c r="AU19">
        <v>2</v>
      </c>
    </row>
    <row r="20" spans="1:47" x14ac:dyDescent="0.3">
      <c r="A20" t="s">
        <v>173</v>
      </c>
      <c r="B20" t="s">
        <v>174</v>
      </c>
      <c r="C20" t="s">
        <v>78</v>
      </c>
      <c r="D20" t="s">
        <v>79</v>
      </c>
      <c r="E20" t="s">
        <v>80</v>
      </c>
      <c r="F20" t="s">
        <v>168</v>
      </c>
      <c r="G20">
        <v>3</v>
      </c>
      <c r="H20">
        <v>10</v>
      </c>
      <c r="I20" t="s">
        <v>985</v>
      </c>
      <c r="J20" t="s">
        <v>987</v>
      </c>
      <c r="K20" t="s">
        <v>48</v>
      </c>
      <c r="M20" t="s">
        <v>169</v>
      </c>
      <c r="N20">
        <v>2873500</v>
      </c>
      <c r="O20" t="s">
        <v>82</v>
      </c>
      <c r="P20" t="s">
        <v>119</v>
      </c>
      <c r="Q20" t="s">
        <v>175</v>
      </c>
      <c r="R20" t="s">
        <v>171</v>
      </c>
      <c r="S20" t="s">
        <v>50</v>
      </c>
      <c r="T20">
        <v>2</v>
      </c>
      <c r="U20">
        <v>0</v>
      </c>
      <c r="V20">
        <v>2579400</v>
      </c>
      <c r="W20" t="s">
        <v>86</v>
      </c>
      <c r="X20" t="s">
        <v>176</v>
      </c>
      <c r="Y20" t="s">
        <v>88</v>
      </c>
      <c r="Z20" t="s">
        <v>89</v>
      </c>
      <c r="AA20">
        <v>1</v>
      </c>
      <c r="AB20">
        <v>0</v>
      </c>
      <c r="AC20">
        <v>2964000</v>
      </c>
      <c r="AD20" t="s">
        <v>90</v>
      </c>
      <c r="AE20">
        <v>4</v>
      </c>
      <c r="AF20">
        <v>0</v>
      </c>
      <c r="AG20" t="s">
        <v>53</v>
      </c>
      <c r="AH20" t="s">
        <v>72</v>
      </c>
      <c r="AI20" t="s">
        <v>73</v>
      </c>
      <c r="AJ20" t="s">
        <v>74</v>
      </c>
      <c r="AK20" t="s">
        <v>56</v>
      </c>
      <c r="AL20">
        <v>2</v>
      </c>
      <c r="AM20">
        <v>0</v>
      </c>
      <c r="AN20" t="s">
        <v>50</v>
      </c>
      <c r="AO20" s="4" t="s">
        <v>171</v>
      </c>
      <c r="AP20" t="s">
        <v>82</v>
      </c>
      <c r="AQ20" t="s">
        <v>57</v>
      </c>
      <c r="AR20" t="s">
        <v>175</v>
      </c>
      <c r="AS20">
        <v>2873500</v>
      </c>
      <c r="AT20" t="s">
        <v>83</v>
      </c>
      <c r="AU20">
        <v>2</v>
      </c>
    </row>
    <row r="21" spans="1:47" x14ac:dyDescent="0.3">
      <c r="A21" t="s">
        <v>177</v>
      </c>
      <c r="B21" t="s">
        <v>178</v>
      </c>
      <c r="C21" t="s">
        <v>78</v>
      </c>
      <c r="D21" t="s">
        <v>79</v>
      </c>
      <c r="E21" t="s">
        <v>80</v>
      </c>
      <c r="F21" t="s">
        <v>168</v>
      </c>
      <c r="G21">
        <v>3</v>
      </c>
      <c r="H21">
        <v>10</v>
      </c>
      <c r="I21" t="s">
        <v>985</v>
      </c>
      <c r="J21" t="s">
        <v>988</v>
      </c>
      <c r="K21" t="s">
        <v>48</v>
      </c>
      <c r="M21" t="s">
        <v>169</v>
      </c>
      <c r="N21">
        <v>2873500</v>
      </c>
      <c r="O21" t="s">
        <v>82</v>
      </c>
      <c r="P21" t="s">
        <v>119</v>
      </c>
      <c r="Q21" t="s">
        <v>179</v>
      </c>
      <c r="R21" t="s">
        <v>171</v>
      </c>
      <c r="S21" t="s">
        <v>50</v>
      </c>
      <c r="T21">
        <v>2</v>
      </c>
      <c r="U21">
        <v>0</v>
      </c>
      <c r="V21">
        <v>2579400</v>
      </c>
      <c r="W21" t="s">
        <v>86</v>
      </c>
      <c r="X21" t="s">
        <v>180</v>
      </c>
      <c r="Y21" t="s">
        <v>88</v>
      </c>
      <c r="Z21" t="s">
        <v>89</v>
      </c>
      <c r="AA21">
        <v>1</v>
      </c>
      <c r="AB21">
        <v>0</v>
      </c>
      <c r="AC21">
        <v>2964000</v>
      </c>
      <c r="AD21" t="s">
        <v>90</v>
      </c>
      <c r="AE21">
        <v>4</v>
      </c>
      <c r="AF21">
        <v>0</v>
      </c>
      <c r="AG21" t="s">
        <v>53</v>
      </c>
      <c r="AH21" t="s">
        <v>72</v>
      </c>
      <c r="AI21" t="s">
        <v>73</v>
      </c>
      <c r="AJ21" t="s">
        <v>74</v>
      </c>
      <c r="AK21" t="s">
        <v>56</v>
      </c>
      <c r="AL21">
        <v>2</v>
      </c>
      <c r="AM21">
        <v>0</v>
      </c>
      <c r="AN21" t="s">
        <v>50</v>
      </c>
      <c r="AO21" s="4" t="s">
        <v>171</v>
      </c>
      <c r="AP21" t="s">
        <v>82</v>
      </c>
      <c r="AQ21" t="s">
        <v>57</v>
      </c>
      <c r="AR21" t="s">
        <v>179</v>
      </c>
      <c r="AS21">
        <v>2873500</v>
      </c>
      <c r="AT21" t="s">
        <v>83</v>
      </c>
      <c r="AU21">
        <v>2</v>
      </c>
    </row>
    <row r="22" spans="1:47" x14ac:dyDescent="0.3">
      <c r="A22" t="s">
        <v>181</v>
      </c>
      <c r="B22" t="s">
        <v>182</v>
      </c>
      <c r="C22" t="s">
        <v>78</v>
      </c>
      <c r="D22" t="s">
        <v>79</v>
      </c>
      <c r="E22" t="s">
        <v>80</v>
      </c>
      <c r="F22" t="s">
        <v>168</v>
      </c>
      <c r="G22">
        <v>3</v>
      </c>
      <c r="H22">
        <v>10</v>
      </c>
      <c r="I22" t="s">
        <v>985</v>
      </c>
      <c r="J22" t="s">
        <v>989</v>
      </c>
      <c r="K22" t="s">
        <v>48</v>
      </c>
      <c r="M22" t="s">
        <v>169</v>
      </c>
      <c r="N22">
        <v>2873500</v>
      </c>
      <c r="O22" t="s">
        <v>82</v>
      </c>
      <c r="P22" t="s">
        <v>119</v>
      </c>
      <c r="Q22" t="s">
        <v>183</v>
      </c>
      <c r="R22" t="s">
        <v>171</v>
      </c>
      <c r="S22" t="s">
        <v>50</v>
      </c>
      <c r="T22">
        <v>2</v>
      </c>
      <c r="U22">
        <v>0</v>
      </c>
      <c r="V22">
        <v>2579400</v>
      </c>
      <c r="W22" t="s">
        <v>86</v>
      </c>
      <c r="X22" t="s">
        <v>184</v>
      </c>
      <c r="Y22" t="s">
        <v>88</v>
      </c>
      <c r="Z22" t="s">
        <v>89</v>
      </c>
      <c r="AA22">
        <v>1</v>
      </c>
      <c r="AB22">
        <v>0</v>
      </c>
      <c r="AC22">
        <v>2964000</v>
      </c>
      <c r="AD22" t="s">
        <v>90</v>
      </c>
      <c r="AE22">
        <v>4</v>
      </c>
      <c r="AF22">
        <v>0</v>
      </c>
      <c r="AG22" t="s">
        <v>53</v>
      </c>
      <c r="AH22" t="s">
        <v>72</v>
      </c>
      <c r="AI22" t="s">
        <v>73</v>
      </c>
      <c r="AJ22" t="s">
        <v>74</v>
      </c>
      <c r="AK22" t="s">
        <v>56</v>
      </c>
      <c r="AL22">
        <v>2</v>
      </c>
      <c r="AM22">
        <v>0</v>
      </c>
      <c r="AN22" t="s">
        <v>50</v>
      </c>
      <c r="AO22" s="4" t="s">
        <v>171</v>
      </c>
      <c r="AP22" t="s">
        <v>82</v>
      </c>
      <c r="AQ22" t="s">
        <v>57</v>
      </c>
      <c r="AR22" t="s">
        <v>183</v>
      </c>
      <c r="AS22">
        <v>2873500</v>
      </c>
      <c r="AT22" t="s">
        <v>83</v>
      </c>
      <c r="AU22">
        <v>2</v>
      </c>
    </row>
    <row r="23" spans="1:47" x14ac:dyDescent="0.3">
      <c r="A23" t="s">
        <v>185</v>
      </c>
      <c r="B23" t="s">
        <v>186</v>
      </c>
      <c r="C23" t="s">
        <v>78</v>
      </c>
      <c r="D23" t="s">
        <v>79</v>
      </c>
      <c r="E23" t="s">
        <v>80</v>
      </c>
      <c r="F23" t="s">
        <v>187</v>
      </c>
      <c r="G23">
        <v>3</v>
      </c>
      <c r="H23">
        <v>10</v>
      </c>
      <c r="I23" t="s">
        <v>985</v>
      </c>
      <c r="J23" t="s">
        <v>990</v>
      </c>
      <c r="K23" t="s">
        <v>81</v>
      </c>
      <c r="M23" t="s">
        <v>188</v>
      </c>
      <c r="N23">
        <v>2873500</v>
      </c>
      <c r="O23" t="s">
        <v>82</v>
      </c>
      <c r="P23" t="s">
        <v>83</v>
      </c>
      <c r="Q23" t="s">
        <v>189</v>
      </c>
      <c r="R23" t="s">
        <v>190</v>
      </c>
      <c r="S23" t="s">
        <v>50</v>
      </c>
      <c r="T23">
        <v>2</v>
      </c>
      <c r="U23">
        <v>0</v>
      </c>
      <c r="V23">
        <v>2579400</v>
      </c>
      <c r="W23" t="s">
        <v>86</v>
      </c>
      <c r="X23" t="s">
        <v>191</v>
      </c>
      <c r="Y23" t="s">
        <v>88</v>
      </c>
      <c r="Z23" t="s">
        <v>89</v>
      </c>
      <c r="AA23">
        <v>1</v>
      </c>
      <c r="AB23">
        <v>0</v>
      </c>
      <c r="AC23">
        <v>2964000</v>
      </c>
      <c r="AD23" t="s">
        <v>90</v>
      </c>
      <c r="AE23">
        <v>4</v>
      </c>
      <c r="AF23">
        <v>0</v>
      </c>
      <c r="AG23" t="s">
        <v>53</v>
      </c>
      <c r="AH23" t="s">
        <v>72</v>
      </c>
      <c r="AI23" t="s">
        <v>73</v>
      </c>
      <c r="AJ23" t="s">
        <v>74</v>
      </c>
      <c r="AK23" t="s">
        <v>56</v>
      </c>
      <c r="AL23">
        <v>2</v>
      </c>
      <c r="AM23">
        <v>0</v>
      </c>
      <c r="AN23" t="s">
        <v>50</v>
      </c>
      <c r="AO23" s="4" t="s">
        <v>190</v>
      </c>
      <c r="AP23" t="s">
        <v>82</v>
      </c>
      <c r="AQ23" t="s">
        <v>57</v>
      </c>
      <c r="AR23" t="s">
        <v>189</v>
      </c>
      <c r="AS23">
        <v>2873500</v>
      </c>
      <c r="AT23" t="s">
        <v>83</v>
      </c>
      <c r="AU23">
        <v>2</v>
      </c>
    </row>
    <row r="24" spans="1:47" x14ac:dyDescent="0.3">
      <c r="A24" t="s">
        <v>192</v>
      </c>
      <c r="B24" t="s">
        <v>193</v>
      </c>
      <c r="C24" t="s">
        <v>78</v>
      </c>
      <c r="D24" t="s">
        <v>79</v>
      </c>
      <c r="E24" t="s">
        <v>80</v>
      </c>
      <c r="F24" t="s">
        <v>187</v>
      </c>
      <c r="G24">
        <v>3</v>
      </c>
      <c r="H24">
        <v>10</v>
      </c>
      <c r="I24" t="s">
        <v>985</v>
      </c>
      <c r="J24" t="s">
        <v>991</v>
      </c>
      <c r="K24" t="s">
        <v>48</v>
      </c>
      <c r="M24" t="s">
        <v>188</v>
      </c>
      <c r="N24">
        <v>2873500</v>
      </c>
      <c r="O24" t="s">
        <v>82</v>
      </c>
      <c r="P24" t="s">
        <v>194</v>
      </c>
      <c r="Q24" t="s">
        <v>195</v>
      </c>
      <c r="R24" t="s">
        <v>106</v>
      </c>
      <c r="S24" t="s">
        <v>50</v>
      </c>
      <c r="T24">
        <v>2</v>
      </c>
      <c r="U24">
        <v>0</v>
      </c>
      <c r="V24">
        <v>2579400</v>
      </c>
      <c r="W24" t="s">
        <v>86</v>
      </c>
      <c r="X24" t="s">
        <v>196</v>
      </c>
      <c r="Y24" t="s">
        <v>88</v>
      </c>
      <c r="Z24" t="s">
        <v>89</v>
      </c>
      <c r="AA24">
        <v>1</v>
      </c>
      <c r="AB24">
        <v>0</v>
      </c>
      <c r="AC24">
        <v>2964000</v>
      </c>
      <c r="AD24" t="s">
        <v>90</v>
      </c>
      <c r="AE24">
        <v>4</v>
      </c>
      <c r="AF24">
        <v>0</v>
      </c>
      <c r="AG24" t="s">
        <v>53</v>
      </c>
      <c r="AH24" t="s">
        <v>72</v>
      </c>
      <c r="AI24" t="s">
        <v>73</v>
      </c>
      <c r="AJ24" t="s">
        <v>74</v>
      </c>
      <c r="AK24" t="s">
        <v>56</v>
      </c>
      <c r="AL24">
        <v>2</v>
      </c>
      <c r="AM24">
        <v>0</v>
      </c>
      <c r="AN24" t="s">
        <v>50</v>
      </c>
      <c r="AO24" s="4" t="s">
        <v>106</v>
      </c>
      <c r="AP24" t="s">
        <v>82</v>
      </c>
      <c r="AQ24" t="s">
        <v>57</v>
      </c>
      <c r="AR24" t="s">
        <v>195</v>
      </c>
      <c r="AS24">
        <v>2873500</v>
      </c>
      <c r="AT24" t="s">
        <v>83</v>
      </c>
      <c r="AU24">
        <v>2</v>
      </c>
    </row>
    <row r="25" spans="1:47" x14ac:dyDescent="0.3">
      <c r="A25" t="s">
        <v>197</v>
      </c>
      <c r="B25" t="s">
        <v>198</v>
      </c>
      <c r="C25" t="s">
        <v>78</v>
      </c>
      <c r="D25" t="s">
        <v>79</v>
      </c>
      <c r="E25" t="s">
        <v>80</v>
      </c>
      <c r="F25" t="s">
        <v>187</v>
      </c>
      <c r="G25">
        <v>3</v>
      </c>
      <c r="H25">
        <v>10</v>
      </c>
      <c r="I25" t="s">
        <v>985</v>
      </c>
      <c r="J25" t="s">
        <v>992</v>
      </c>
      <c r="K25" t="s">
        <v>81</v>
      </c>
      <c r="M25" t="s">
        <v>188</v>
      </c>
      <c r="N25">
        <v>2873500</v>
      </c>
      <c r="O25" t="s">
        <v>82</v>
      </c>
      <c r="P25" t="s">
        <v>155</v>
      </c>
      <c r="Q25" t="s">
        <v>199</v>
      </c>
      <c r="R25" t="s">
        <v>106</v>
      </c>
      <c r="S25" t="s">
        <v>50</v>
      </c>
      <c r="T25">
        <v>2</v>
      </c>
      <c r="U25">
        <v>0</v>
      </c>
      <c r="V25">
        <v>2579400</v>
      </c>
      <c r="W25" t="s">
        <v>86</v>
      </c>
      <c r="X25" t="s">
        <v>200</v>
      </c>
      <c r="Y25" t="s">
        <v>88</v>
      </c>
      <c r="Z25" t="s">
        <v>89</v>
      </c>
      <c r="AA25">
        <v>1</v>
      </c>
      <c r="AB25">
        <v>0</v>
      </c>
      <c r="AC25">
        <v>2964000</v>
      </c>
      <c r="AD25" t="s">
        <v>90</v>
      </c>
      <c r="AE25">
        <v>4</v>
      </c>
      <c r="AF25">
        <v>0</v>
      </c>
      <c r="AG25" t="s">
        <v>53</v>
      </c>
      <c r="AH25" t="s">
        <v>72</v>
      </c>
      <c r="AI25" t="s">
        <v>73</v>
      </c>
      <c r="AJ25" t="s">
        <v>74</v>
      </c>
      <c r="AK25" t="s">
        <v>56</v>
      </c>
      <c r="AL25">
        <v>2</v>
      </c>
      <c r="AM25">
        <v>0</v>
      </c>
      <c r="AN25" t="s">
        <v>50</v>
      </c>
      <c r="AO25" s="4" t="s">
        <v>106</v>
      </c>
      <c r="AP25" t="s">
        <v>82</v>
      </c>
      <c r="AQ25" t="s">
        <v>57</v>
      </c>
      <c r="AR25" t="s">
        <v>199</v>
      </c>
      <c r="AS25">
        <v>2873500</v>
      </c>
      <c r="AT25" t="s">
        <v>83</v>
      </c>
      <c r="AU25">
        <v>2</v>
      </c>
    </row>
    <row r="26" spans="1:47" x14ac:dyDescent="0.3">
      <c r="A26" t="s">
        <v>201</v>
      </c>
      <c r="B26" t="s">
        <v>202</v>
      </c>
      <c r="C26" t="s">
        <v>78</v>
      </c>
      <c r="D26" t="s">
        <v>79</v>
      </c>
      <c r="E26" t="s">
        <v>80</v>
      </c>
      <c r="F26" t="s">
        <v>187</v>
      </c>
      <c r="G26">
        <v>3</v>
      </c>
      <c r="H26">
        <v>10</v>
      </c>
      <c r="I26" t="s">
        <v>985</v>
      </c>
      <c r="J26" t="s">
        <v>993</v>
      </c>
      <c r="K26" t="s">
        <v>48</v>
      </c>
      <c r="M26" t="s">
        <v>188</v>
      </c>
      <c r="N26">
        <v>2873500</v>
      </c>
      <c r="O26" t="s">
        <v>82</v>
      </c>
      <c r="P26" t="s">
        <v>155</v>
      </c>
      <c r="Q26" t="s">
        <v>203</v>
      </c>
      <c r="R26" t="s">
        <v>106</v>
      </c>
      <c r="S26" t="s">
        <v>50</v>
      </c>
      <c r="T26">
        <v>2</v>
      </c>
      <c r="U26">
        <v>0</v>
      </c>
      <c r="V26">
        <v>2579400</v>
      </c>
      <c r="W26" t="s">
        <v>86</v>
      </c>
      <c r="X26" t="s">
        <v>204</v>
      </c>
      <c r="Y26" t="s">
        <v>88</v>
      </c>
      <c r="Z26" t="s">
        <v>89</v>
      </c>
      <c r="AA26">
        <v>1</v>
      </c>
      <c r="AB26">
        <v>0</v>
      </c>
      <c r="AC26">
        <v>2964000</v>
      </c>
      <c r="AD26" t="s">
        <v>90</v>
      </c>
      <c r="AE26">
        <v>4</v>
      </c>
      <c r="AF26">
        <v>0</v>
      </c>
      <c r="AG26" t="s">
        <v>53</v>
      </c>
      <c r="AH26" t="s">
        <v>72</v>
      </c>
      <c r="AI26" t="s">
        <v>73</v>
      </c>
      <c r="AJ26" t="s">
        <v>74</v>
      </c>
      <c r="AK26" t="s">
        <v>56</v>
      </c>
      <c r="AL26">
        <v>2</v>
      </c>
      <c r="AM26">
        <v>0</v>
      </c>
      <c r="AN26" t="s">
        <v>50</v>
      </c>
      <c r="AO26" s="4" t="s">
        <v>106</v>
      </c>
      <c r="AP26" t="s">
        <v>82</v>
      </c>
      <c r="AQ26" t="s">
        <v>57</v>
      </c>
      <c r="AR26" t="s">
        <v>203</v>
      </c>
      <c r="AS26">
        <v>2873500</v>
      </c>
      <c r="AT26" t="s">
        <v>83</v>
      </c>
      <c r="AU26">
        <v>2</v>
      </c>
    </row>
    <row r="27" spans="1:47" x14ac:dyDescent="0.3">
      <c r="A27" t="s">
        <v>205</v>
      </c>
      <c r="B27" t="s">
        <v>206</v>
      </c>
      <c r="C27" t="s">
        <v>78</v>
      </c>
      <c r="D27" t="s">
        <v>79</v>
      </c>
      <c r="E27" t="s">
        <v>80</v>
      </c>
      <c r="F27" t="s">
        <v>187</v>
      </c>
      <c r="G27">
        <v>3</v>
      </c>
      <c r="H27">
        <v>10</v>
      </c>
      <c r="I27" t="s">
        <v>985</v>
      </c>
      <c r="J27" t="s">
        <v>994</v>
      </c>
      <c r="K27" t="s">
        <v>48</v>
      </c>
      <c r="M27" t="s">
        <v>188</v>
      </c>
      <c r="N27">
        <v>2873500</v>
      </c>
      <c r="O27" t="s">
        <v>82</v>
      </c>
      <c r="P27" t="s">
        <v>155</v>
      </c>
      <c r="Q27" t="s">
        <v>207</v>
      </c>
      <c r="R27" t="s">
        <v>106</v>
      </c>
      <c r="S27" t="s">
        <v>50</v>
      </c>
      <c r="T27">
        <v>2</v>
      </c>
      <c r="U27">
        <v>0</v>
      </c>
      <c r="V27">
        <v>2579400</v>
      </c>
      <c r="W27" t="s">
        <v>86</v>
      </c>
      <c r="X27" t="s">
        <v>208</v>
      </c>
      <c r="Y27" t="s">
        <v>88</v>
      </c>
      <c r="Z27" t="s">
        <v>89</v>
      </c>
      <c r="AA27">
        <v>1</v>
      </c>
      <c r="AB27">
        <v>0</v>
      </c>
      <c r="AC27">
        <v>2964000</v>
      </c>
      <c r="AD27" t="s">
        <v>90</v>
      </c>
      <c r="AE27">
        <v>4</v>
      </c>
      <c r="AF27">
        <v>0</v>
      </c>
      <c r="AG27" t="s">
        <v>53</v>
      </c>
      <c r="AH27" t="s">
        <v>72</v>
      </c>
      <c r="AI27" t="s">
        <v>73</v>
      </c>
      <c r="AJ27" t="s">
        <v>74</v>
      </c>
      <c r="AK27" t="s">
        <v>56</v>
      </c>
      <c r="AL27">
        <v>2</v>
      </c>
      <c r="AM27">
        <v>0</v>
      </c>
      <c r="AN27" t="s">
        <v>50</v>
      </c>
      <c r="AO27" s="4" t="s">
        <v>106</v>
      </c>
      <c r="AP27" t="s">
        <v>82</v>
      </c>
      <c r="AQ27" t="s">
        <v>57</v>
      </c>
      <c r="AR27" t="s">
        <v>207</v>
      </c>
      <c r="AS27">
        <v>2873500</v>
      </c>
      <c r="AT27" t="s">
        <v>83</v>
      </c>
      <c r="AU27">
        <v>2</v>
      </c>
    </row>
    <row r="28" spans="1:47" x14ac:dyDescent="0.3">
      <c r="A28" t="s">
        <v>209</v>
      </c>
      <c r="B28" t="s">
        <v>210</v>
      </c>
      <c r="C28" t="s">
        <v>78</v>
      </c>
      <c r="D28" t="s">
        <v>79</v>
      </c>
      <c r="E28" t="s">
        <v>80</v>
      </c>
      <c r="F28" t="s">
        <v>211</v>
      </c>
      <c r="G28">
        <v>3</v>
      </c>
      <c r="H28">
        <v>10</v>
      </c>
      <c r="I28" t="s">
        <v>985</v>
      </c>
      <c r="J28" t="s">
        <v>995</v>
      </c>
      <c r="K28" t="s">
        <v>48</v>
      </c>
      <c r="M28" t="s">
        <v>212</v>
      </c>
      <c r="N28">
        <v>2873500</v>
      </c>
      <c r="O28" t="s">
        <v>82</v>
      </c>
      <c r="P28" t="s">
        <v>155</v>
      </c>
      <c r="Q28" t="s">
        <v>213</v>
      </c>
      <c r="R28" t="s">
        <v>106</v>
      </c>
      <c r="S28" t="s">
        <v>50</v>
      </c>
      <c r="T28">
        <v>0</v>
      </c>
      <c r="U28">
        <v>2</v>
      </c>
      <c r="V28">
        <v>2579400</v>
      </c>
      <c r="W28" t="s">
        <v>86</v>
      </c>
      <c r="X28" t="s">
        <v>214</v>
      </c>
      <c r="Y28" t="s">
        <v>88</v>
      </c>
      <c r="Z28" t="s">
        <v>89</v>
      </c>
      <c r="AA28">
        <v>1</v>
      </c>
      <c r="AB28">
        <v>0</v>
      </c>
      <c r="AC28">
        <v>2964000</v>
      </c>
      <c r="AD28" t="s">
        <v>90</v>
      </c>
      <c r="AE28">
        <v>4</v>
      </c>
      <c r="AF28">
        <v>0</v>
      </c>
      <c r="AG28" t="s">
        <v>53</v>
      </c>
      <c r="AH28" t="s">
        <v>72</v>
      </c>
      <c r="AI28" t="s">
        <v>73</v>
      </c>
      <c r="AJ28" t="s">
        <v>74</v>
      </c>
      <c r="AK28" t="s">
        <v>56</v>
      </c>
      <c r="AL28">
        <v>2</v>
      </c>
      <c r="AM28">
        <v>0</v>
      </c>
      <c r="AN28" t="s">
        <v>50</v>
      </c>
      <c r="AO28" s="4" t="s">
        <v>106</v>
      </c>
      <c r="AP28" t="s">
        <v>82</v>
      </c>
      <c r="AQ28" t="s">
        <v>57</v>
      </c>
      <c r="AR28" t="s">
        <v>213</v>
      </c>
      <c r="AS28">
        <v>2873500</v>
      </c>
      <c r="AT28" t="s">
        <v>83</v>
      </c>
      <c r="AU28">
        <v>4</v>
      </c>
    </row>
    <row r="29" spans="1:47" x14ac:dyDescent="0.3">
      <c r="A29" t="s">
        <v>215</v>
      </c>
      <c r="B29" t="s">
        <v>216</v>
      </c>
      <c r="C29" t="s">
        <v>78</v>
      </c>
      <c r="D29" t="s">
        <v>79</v>
      </c>
      <c r="E29" t="s">
        <v>80</v>
      </c>
      <c r="F29" t="s">
        <v>211</v>
      </c>
      <c r="G29">
        <v>3</v>
      </c>
      <c r="H29">
        <v>10</v>
      </c>
      <c r="I29" t="s">
        <v>985</v>
      </c>
      <c r="J29" t="s">
        <v>996</v>
      </c>
      <c r="K29" t="s">
        <v>48</v>
      </c>
      <c r="M29" t="s">
        <v>212</v>
      </c>
      <c r="N29">
        <v>2873500</v>
      </c>
      <c r="O29" t="s">
        <v>82</v>
      </c>
      <c r="Q29" t="s">
        <v>217</v>
      </c>
      <c r="R29" t="s">
        <v>106</v>
      </c>
      <c r="S29" t="s">
        <v>50</v>
      </c>
      <c r="T29">
        <v>2</v>
      </c>
      <c r="U29">
        <v>0</v>
      </c>
      <c r="V29">
        <v>2579400</v>
      </c>
      <c r="W29" t="s">
        <v>86</v>
      </c>
      <c r="X29" t="s">
        <v>218</v>
      </c>
      <c r="Y29" t="s">
        <v>88</v>
      </c>
      <c r="Z29" t="s">
        <v>89</v>
      </c>
      <c r="AA29">
        <v>1</v>
      </c>
      <c r="AB29">
        <v>0</v>
      </c>
      <c r="AC29">
        <v>2964000</v>
      </c>
      <c r="AD29" t="s">
        <v>90</v>
      </c>
      <c r="AE29">
        <v>4</v>
      </c>
      <c r="AF29">
        <v>0</v>
      </c>
      <c r="AG29" t="s">
        <v>53</v>
      </c>
      <c r="AH29" t="s">
        <v>72</v>
      </c>
      <c r="AI29" t="s">
        <v>73</v>
      </c>
      <c r="AJ29" t="s">
        <v>74</v>
      </c>
      <c r="AK29" t="s">
        <v>56</v>
      </c>
      <c r="AL29">
        <v>2</v>
      </c>
      <c r="AM29">
        <v>0</v>
      </c>
      <c r="AN29" t="s">
        <v>50</v>
      </c>
      <c r="AO29" s="4" t="s">
        <v>106</v>
      </c>
      <c r="AP29" t="s">
        <v>82</v>
      </c>
      <c r="AQ29" t="s">
        <v>57</v>
      </c>
      <c r="AR29" t="s">
        <v>217</v>
      </c>
      <c r="AS29">
        <v>2873500</v>
      </c>
      <c r="AT29" t="s">
        <v>83</v>
      </c>
      <c r="AU29">
        <v>2</v>
      </c>
    </row>
    <row r="30" spans="1:47" x14ac:dyDescent="0.3">
      <c r="A30" t="s">
        <v>219</v>
      </c>
      <c r="B30" t="s">
        <v>220</v>
      </c>
      <c r="C30" t="s">
        <v>78</v>
      </c>
      <c r="D30" t="s">
        <v>79</v>
      </c>
      <c r="E30" t="s">
        <v>221</v>
      </c>
      <c r="F30" t="s">
        <v>222</v>
      </c>
      <c r="G30">
        <v>3</v>
      </c>
      <c r="H30">
        <v>10</v>
      </c>
      <c r="I30" t="s">
        <v>985</v>
      </c>
      <c r="J30" t="s">
        <v>997</v>
      </c>
      <c r="K30" t="s">
        <v>48</v>
      </c>
      <c r="M30" t="s">
        <v>223</v>
      </c>
      <c r="N30">
        <v>2579400</v>
      </c>
      <c r="O30" t="s">
        <v>86</v>
      </c>
      <c r="P30" t="s">
        <v>94</v>
      </c>
      <c r="Q30" t="s">
        <v>224</v>
      </c>
      <c r="S30" t="s">
        <v>89</v>
      </c>
      <c r="T30">
        <v>1</v>
      </c>
      <c r="U30">
        <v>0</v>
      </c>
      <c r="V30">
        <v>2579400</v>
      </c>
      <c r="W30" t="s">
        <v>86</v>
      </c>
      <c r="X30" t="s">
        <v>224</v>
      </c>
      <c r="Y30" t="s">
        <v>88</v>
      </c>
      <c r="Z30" t="s">
        <v>89</v>
      </c>
      <c r="AA30">
        <v>1</v>
      </c>
      <c r="AB30">
        <v>0</v>
      </c>
      <c r="AC30">
        <v>2964000</v>
      </c>
      <c r="AD30" t="s">
        <v>90</v>
      </c>
      <c r="AE30">
        <v>4</v>
      </c>
      <c r="AF30">
        <v>0</v>
      </c>
      <c r="AG30" t="s">
        <v>53</v>
      </c>
      <c r="AH30" t="s">
        <v>72</v>
      </c>
      <c r="AI30" t="s">
        <v>73</v>
      </c>
      <c r="AJ30" t="s">
        <v>74</v>
      </c>
      <c r="AK30" t="s">
        <v>56</v>
      </c>
      <c r="AL30">
        <v>1</v>
      </c>
      <c r="AM30">
        <v>0</v>
      </c>
      <c r="AN30" t="s">
        <v>89</v>
      </c>
      <c r="AO30" s="5" t="s">
        <v>88</v>
      </c>
      <c r="AP30" t="s">
        <v>86</v>
      </c>
      <c r="AQ30" t="s">
        <v>96</v>
      </c>
      <c r="AR30" t="s">
        <v>224</v>
      </c>
      <c r="AS30">
        <v>2579400</v>
      </c>
      <c r="AT30" t="s">
        <v>959</v>
      </c>
      <c r="AU30">
        <v>3</v>
      </c>
    </row>
    <row r="31" spans="1:47" x14ac:dyDescent="0.3">
      <c r="A31" t="s">
        <v>225</v>
      </c>
      <c r="B31" t="s">
        <v>226</v>
      </c>
      <c r="C31" t="s">
        <v>78</v>
      </c>
      <c r="D31" t="s">
        <v>79</v>
      </c>
      <c r="E31" t="s">
        <v>227</v>
      </c>
      <c r="F31" t="s">
        <v>228</v>
      </c>
      <c r="G31">
        <v>3</v>
      </c>
      <c r="H31">
        <v>10</v>
      </c>
      <c r="I31" t="s">
        <v>985</v>
      </c>
      <c r="J31" t="s">
        <v>998</v>
      </c>
      <c r="K31" t="s">
        <v>81</v>
      </c>
      <c r="M31" t="s">
        <v>229</v>
      </c>
      <c r="N31">
        <v>2873500</v>
      </c>
      <c r="O31" t="s">
        <v>82</v>
      </c>
      <c r="P31" t="s">
        <v>155</v>
      </c>
      <c r="Q31" t="s">
        <v>230</v>
      </c>
      <c r="R31" t="s">
        <v>231</v>
      </c>
      <c r="S31" t="s">
        <v>50</v>
      </c>
      <c r="T31">
        <v>2</v>
      </c>
      <c r="U31">
        <v>0</v>
      </c>
      <c r="V31">
        <v>2579400</v>
      </c>
      <c r="W31" t="s">
        <v>86</v>
      </c>
      <c r="X31" t="s">
        <v>232</v>
      </c>
      <c r="Y31" t="s">
        <v>88</v>
      </c>
      <c r="Z31" t="s">
        <v>89</v>
      </c>
      <c r="AA31">
        <v>1</v>
      </c>
      <c r="AB31">
        <v>0</v>
      </c>
      <c r="AC31">
        <v>2964000</v>
      </c>
      <c r="AD31" t="s">
        <v>90</v>
      </c>
      <c r="AE31">
        <v>4</v>
      </c>
      <c r="AF31">
        <v>0</v>
      </c>
      <c r="AG31" t="s">
        <v>53</v>
      </c>
      <c r="AH31" t="s">
        <v>72</v>
      </c>
      <c r="AI31" t="s">
        <v>73</v>
      </c>
      <c r="AJ31" t="s">
        <v>74</v>
      </c>
      <c r="AK31" t="s">
        <v>56</v>
      </c>
      <c r="AL31">
        <v>2</v>
      </c>
      <c r="AM31">
        <v>0</v>
      </c>
      <c r="AN31" t="s">
        <v>50</v>
      </c>
      <c r="AO31" s="4" t="s">
        <v>231</v>
      </c>
      <c r="AP31" t="s">
        <v>82</v>
      </c>
      <c r="AQ31" t="s">
        <v>57</v>
      </c>
      <c r="AR31" t="s">
        <v>230</v>
      </c>
      <c r="AS31">
        <v>2873500</v>
      </c>
      <c r="AT31" t="s">
        <v>83</v>
      </c>
      <c r="AU31">
        <v>2</v>
      </c>
    </row>
    <row r="32" spans="1:47" x14ac:dyDescent="0.3">
      <c r="A32" t="s">
        <v>233</v>
      </c>
      <c r="B32" t="s">
        <v>234</v>
      </c>
      <c r="C32" t="s">
        <v>78</v>
      </c>
      <c r="D32" t="s">
        <v>79</v>
      </c>
      <c r="E32" t="s">
        <v>80</v>
      </c>
      <c r="F32" t="s">
        <v>235</v>
      </c>
      <c r="G32">
        <v>3</v>
      </c>
      <c r="H32">
        <v>10</v>
      </c>
      <c r="I32" t="s">
        <v>985</v>
      </c>
      <c r="J32" t="s">
        <v>999</v>
      </c>
      <c r="K32" t="s">
        <v>48</v>
      </c>
      <c r="M32" t="s">
        <v>236</v>
      </c>
      <c r="N32">
        <v>2579400</v>
      </c>
      <c r="O32" t="s">
        <v>86</v>
      </c>
      <c r="Q32" t="s">
        <v>237</v>
      </c>
      <c r="R32" t="s">
        <v>238</v>
      </c>
      <c r="S32" t="s">
        <v>89</v>
      </c>
      <c r="T32">
        <v>1</v>
      </c>
      <c r="U32">
        <v>0</v>
      </c>
      <c r="V32">
        <v>2579400</v>
      </c>
      <c r="W32" t="s">
        <v>86</v>
      </c>
      <c r="X32" t="s">
        <v>237</v>
      </c>
      <c r="Y32" t="s">
        <v>88</v>
      </c>
      <c r="Z32" t="s">
        <v>89</v>
      </c>
      <c r="AA32">
        <v>1</v>
      </c>
      <c r="AB32">
        <v>0</v>
      </c>
      <c r="AC32">
        <v>2964000</v>
      </c>
      <c r="AD32" t="s">
        <v>90</v>
      </c>
      <c r="AE32">
        <v>4</v>
      </c>
      <c r="AF32">
        <v>0</v>
      </c>
      <c r="AG32" t="s">
        <v>53</v>
      </c>
      <c r="AH32" t="s">
        <v>72</v>
      </c>
      <c r="AI32" t="s">
        <v>73</v>
      </c>
      <c r="AJ32" t="s">
        <v>74</v>
      </c>
      <c r="AK32" t="s">
        <v>56</v>
      </c>
      <c r="AL32">
        <v>1</v>
      </c>
      <c r="AM32">
        <v>0</v>
      </c>
      <c r="AN32" t="s">
        <v>89</v>
      </c>
      <c r="AO32" s="4" t="s">
        <v>238</v>
      </c>
      <c r="AP32" t="s">
        <v>86</v>
      </c>
      <c r="AQ32" t="s">
        <v>96</v>
      </c>
      <c r="AR32" t="s">
        <v>237</v>
      </c>
      <c r="AS32">
        <v>2579400</v>
      </c>
      <c r="AT32" t="s">
        <v>959</v>
      </c>
      <c r="AU32">
        <v>3</v>
      </c>
    </row>
    <row r="33" spans="1:48" x14ac:dyDescent="0.3">
      <c r="A33" t="s">
        <v>239</v>
      </c>
      <c r="B33" t="s">
        <v>240</v>
      </c>
      <c r="C33" t="s">
        <v>78</v>
      </c>
      <c r="D33" t="s">
        <v>79</v>
      </c>
      <c r="E33" t="s">
        <v>80</v>
      </c>
      <c r="F33" t="s">
        <v>241</v>
      </c>
      <c r="G33">
        <v>3</v>
      </c>
      <c r="H33">
        <v>10</v>
      </c>
      <c r="I33" t="s">
        <v>985</v>
      </c>
      <c r="J33" t="s">
        <v>1000</v>
      </c>
      <c r="K33" t="s">
        <v>48</v>
      </c>
      <c r="M33" t="s">
        <v>242</v>
      </c>
      <c r="N33">
        <v>2873500</v>
      </c>
      <c r="O33" t="s">
        <v>82</v>
      </c>
      <c r="P33" t="s">
        <v>155</v>
      </c>
      <c r="Q33" t="s">
        <v>243</v>
      </c>
      <c r="R33" t="s">
        <v>231</v>
      </c>
      <c r="S33" t="s">
        <v>50</v>
      </c>
      <c r="T33">
        <v>2</v>
      </c>
      <c r="U33">
        <v>0</v>
      </c>
      <c r="V33">
        <v>2579400</v>
      </c>
      <c r="W33" t="s">
        <v>86</v>
      </c>
      <c r="X33" t="s">
        <v>244</v>
      </c>
      <c r="Y33" t="s">
        <v>88</v>
      </c>
      <c r="Z33" t="s">
        <v>89</v>
      </c>
      <c r="AA33">
        <v>1</v>
      </c>
      <c r="AB33">
        <v>0</v>
      </c>
      <c r="AC33">
        <v>2964000</v>
      </c>
      <c r="AD33" t="s">
        <v>90</v>
      </c>
      <c r="AE33">
        <v>4</v>
      </c>
      <c r="AF33">
        <v>0</v>
      </c>
      <c r="AG33" t="s">
        <v>53</v>
      </c>
      <c r="AH33" t="s">
        <v>72</v>
      </c>
      <c r="AI33" t="s">
        <v>73</v>
      </c>
      <c r="AJ33" t="s">
        <v>74</v>
      </c>
      <c r="AK33" t="s">
        <v>56</v>
      </c>
      <c r="AL33">
        <v>2</v>
      </c>
      <c r="AM33">
        <v>0</v>
      </c>
      <c r="AN33" t="s">
        <v>50</v>
      </c>
      <c r="AO33" s="4" t="s">
        <v>231</v>
      </c>
      <c r="AP33" t="s">
        <v>82</v>
      </c>
      <c r="AQ33" t="s">
        <v>57</v>
      </c>
      <c r="AR33" t="s">
        <v>243</v>
      </c>
      <c r="AS33">
        <v>2873500</v>
      </c>
      <c r="AT33" t="s">
        <v>83</v>
      </c>
      <c r="AU33">
        <v>2</v>
      </c>
    </row>
    <row r="34" spans="1:48" x14ac:dyDescent="0.3">
      <c r="A34" t="s">
        <v>245</v>
      </c>
      <c r="B34" t="s">
        <v>246</v>
      </c>
      <c r="C34" t="s">
        <v>247</v>
      </c>
      <c r="D34" t="s">
        <v>248</v>
      </c>
      <c r="E34" t="s">
        <v>80</v>
      </c>
      <c r="F34" t="s">
        <v>249</v>
      </c>
      <c r="G34">
        <v>3</v>
      </c>
      <c r="H34">
        <v>10</v>
      </c>
      <c r="I34" t="s">
        <v>985</v>
      </c>
      <c r="J34" t="s">
        <v>1001</v>
      </c>
      <c r="K34" t="s">
        <v>48</v>
      </c>
      <c r="M34" t="s">
        <v>250</v>
      </c>
      <c r="N34">
        <v>2995000</v>
      </c>
      <c r="O34" t="s">
        <v>251</v>
      </c>
      <c r="Q34" t="s">
        <v>252</v>
      </c>
      <c r="R34" t="s">
        <v>253</v>
      </c>
      <c r="S34" t="s">
        <v>254</v>
      </c>
      <c r="T34">
        <v>3</v>
      </c>
      <c r="U34">
        <v>10</v>
      </c>
      <c r="V34">
        <v>2995000</v>
      </c>
      <c r="W34" t="s">
        <v>251</v>
      </c>
      <c r="X34" t="s">
        <v>252</v>
      </c>
      <c r="Y34" t="s">
        <v>253</v>
      </c>
      <c r="Z34" t="s">
        <v>254</v>
      </c>
      <c r="AA34">
        <v>3</v>
      </c>
      <c r="AB34">
        <v>10</v>
      </c>
      <c r="AC34">
        <v>3089300</v>
      </c>
      <c r="AD34" t="s">
        <v>255</v>
      </c>
      <c r="AE34">
        <v>4</v>
      </c>
      <c r="AF34">
        <v>0</v>
      </c>
      <c r="AG34" t="s">
        <v>53</v>
      </c>
      <c r="AH34" t="s">
        <v>72</v>
      </c>
      <c r="AI34" t="s">
        <v>73</v>
      </c>
      <c r="AJ34" t="s">
        <v>74</v>
      </c>
      <c r="AK34" t="s">
        <v>56</v>
      </c>
      <c r="AL34">
        <v>3</v>
      </c>
      <c r="AM34">
        <v>10</v>
      </c>
      <c r="AN34" t="s">
        <v>254</v>
      </c>
      <c r="AO34" s="4" t="s">
        <v>253</v>
      </c>
      <c r="AP34" t="s">
        <v>251</v>
      </c>
      <c r="AQ34" t="s">
        <v>256</v>
      </c>
      <c r="AR34" t="s">
        <v>252</v>
      </c>
      <c r="AS34">
        <v>2995000</v>
      </c>
      <c r="AT34" t="s">
        <v>959</v>
      </c>
      <c r="AU34">
        <v>1</v>
      </c>
    </row>
    <row r="35" spans="1:48" x14ac:dyDescent="0.3">
      <c r="A35" t="s">
        <v>257</v>
      </c>
      <c r="B35" t="s">
        <v>258</v>
      </c>
      <c r="C35" t="s">
        <v>78</v>
      </c>
      <c r="D35" t="s">
        <v>79</v>
      </c>
      <c r="E35" t="s">
        <v>80</v>
      </c>
      <c r="F35" t="s">
        <v>259</v>
      </c>
      <c r="G35">
        <v>3</v>
      </c>
      <c r="H35">
        <v>10</v>
      </c>
      <c r="I35" t="s">
        <v>985</v>
      </c>
      <c r="J35" t="s">
        <v>1002</v>
      </c>
      <c r="K35" t="s">
        <v>48</v>
      </c>
      <c r="M35" t="s">
        <v>260</v>
      </c>
      <c r="N35">
        <v>2873500</v>
      </c>
      <c r="O35" t="s">
        <v>82</v>
      </c>
      <c r="P35" t="s">
        <v>83</v>
      </c>
      <c r="Q35" t="s">
        <v>261</v>
      </c>
      <c r="R35" t="s">
        <v>106</v>
      </c>
      <c r="S35" t="s">
        <v>50</v>
      </c>
      <c r="T35">
        <v>2</v>
      </c>
      <c r="U35">
        <v>0</v>
      </c>
      <c r="V35">
        <v>2579400</v>
      </c>
      <c r="W35" t="s">
        <v>86</v>
      </c>
      <c r="X35" t="s">
        <v>262</v>
      </c>
      <c r="Y35" t="s">
        <v>88</v>
      </c>
      <c r="Z35" t="s">
        <v>89</v>
      </c>
      <c r="AA35">
        <v>1</v>
      </c>
      <c r="AB35">
        <v>0</v>
      </c>
      <c r="AC35">
        <v>2964000</v>
      </c>
      <c r="AD35" t="s">
        <v>90</v>
      </c>
      <c r="AE35">
        <v>4</v>
      </c>
      <c r="AF35">
        <v>0</v>
      </c>
      <c r="AG35" t="s">
        <v>53</v>
      </c>
      <c r="AH35" t="s">
        <v>72</v>
      </c>
      <c r="AI35" t="s">
        <v>73</v>
      </c>
      <c r="AJ35" t="s">
        <v>74</v>
      </c>
      <c r="AK35" t="s">
        <v>56</v>
      </c>
      <c r="AL35">
        <v>2</v>
      </c>
      <c r="AM35">
        <v>0</v>
      </c>
      <c r="AN35" t="s">
        <v>50</v>
      </c>
      <c r="AO35" s="4" t="s">
        <v>106</v>
      </c>
      <c r="AP35" t="s">
        <v>82</v>
      </c>
      <c r="AQ35" t="s">
        <v>57</v>
      </c>
      <c r="AR35" t="s">
        <v>261</v>
      </c>
      <c r="AS35">
        <v>2873500</v>
      </c>
      <c r="AT35" t="s">
        <v>83</v>
      </c>
      <c r="AU35">
        <v>2</v>
      </c>
    </row>
    <row r="36" spans="1:48" x14ac:dyDescent="0.3">
      <c r="A36" t="s">
        <v>263</v>
      </c>
      <c r="B36" t="s">
        <v>264</v>
      </c>
      <c r="C36" t="s">
        <v>78</v>
      </c>
      <c r="D36" t="s">
        <v>79</v>
      </c>
      <c r="E36" t="s">
        <v>80</v>
      </c>
      <c r="F36" t="s">
        <v>259</v>
      </c>
      <c r="G36">
        <v>3</v>
      </c>
      <c r="H36">
        <v>10</v>
      </c>
      <c r="I36" t="s">
        <v>985</v>
      </c>
      <c r="J36" t="s">
        <v>1003</v>
      </c>
      <c r="K36" t="s">
        <v>81</v>
      </c>
      <c r="M36" t="s">
        <v>260</v>
      </c>
      <c r="N36">
        <v>2873500</v>
      </c>
      <c r="O36" t="s">
        <v>82</v>
      </c>
      <c r="P36" t="s">
        <v>119</v>
      </c>
      <c r="Q36" t="s">
        <v>265</v>
      </c>
      <c r="R36" t="s">
        <v>231</v>
      </c>
      <c r="S36" t="s">
        <v>50</v>
      </c>
      <c r="T36">
        <v>2</v>
      </c>
      <c r="U36">
        <v>0</v>
      </c>
      <c r="V36">
        <v>2579400</v>
      </c>
      <c r="W36" t="s">
        <v>86</v>
      </c>
      <c r="X36" t="s">
        <v>266</v>
      </c>
      <c r="Y36" t="s">
        <v>88</v>
      </c>
      <c r="Z36" t="s">
        <v>89</v>
      </c>
      <c r="AA36">
        <v>1</v>
      </c>
      <c r="AB36">
        <v>0</v>
      </c>
      <c r="AC36">
        <v>2964000</v>
      </c>
      <c r="AD36" t="s">
        <v>90</v>
      </c>
      <c r="AE36">
        <v>4</v>
      </c>
      <c r="AF36">
        <v>0</v>
      </c>
      <c r="AG36" t="s">
        <v>53</v>
      </c>
      <c r="AH36" t="s">
        <v>72</v>
      </c>
      <c r="AI36" t="s">
        <v>73</v>
      </c>
      <c r="AJ36" t="s">
        <v>74</v>
      </c>
      <c r="AK36" t="s">
        <v>56</v>
      </c>
      <c r="AL36">
        <v>2</v>
      </c>
      <c r="AM36">
        <v>0</v>
      </c>
      <c r="AN36" t="s">
        <v>50</v>
      </c>
      <c r="AO36" s="4" t="s">
        <v>231</v>
      </c>
      <c r="AP36" t="s">
        <v>82</v>
      </c>
      <c r="AQ36" t="s">
        <v>57</v>
      </c>
      <c r="AR36" t="s">
        <v>265</v>
      </c>
      <c r="AS36">
        <v>2873500</v>
      </c>
      <c r="AT36" t="s">
        <v>83</v>
      </c>
      <c r="AU36">
        <v>2</v>
      </c>
    </row>
    <row r="37" spans="1:48" x14ac:dyDescent="0.3">
      <c r="A37" t="s">
        <v>267</v>
      </c>
      <c r="B37" t="s">
        <v>268</v>
      </c>
      <c r="C37" t="s">
        <v>78</v>
      </c>
      <c r="D37" t="s">
        <v>79</v>
      </c>
      <c r="E37" t="s">
        <v>269</v>
      </c>
      <c r="F37" t="s">
        <v>270</v>
      </c>
      <c r="G37">
        <v>17</v>
      </c>
      <c r="H37">
        <v>10</v>
      </c>
      <c r="I37" t="s">
        <v>985</v>
      </c>
      <c r="J37" t="s">
        <v>1004</v>
      </c>
      <c r="K37" t="s">
        <v>48</v>
      </c>
      <c r="M37" t="s">
        <v>271</v>
      </c>
      <c r="N37">
        <v>3570100</v>
      </c>
      <c r="O37" t="s">
        <v>272</v>
      </c>
      <c r="P37" t="s">
        <v>83</v>
      </c>
      <c r="Q37" t="s">
        <v>273</v>
      </c>
      <c r="R37" t="s">
        <v>85</v>
      </c>
      <c r="S37" t="s">
        <v>50</v>
      </c>
      <c r="T37">
        <v>16</v>
      </c>
      <c r="U37">
        <v>0</v>
      </c>
      <c r="V37">
        <v>3204700</v>
      </c>
      <c r="W37" t="s">
        <v>274</v>
      </c>
      <c r="X37" t="s">
        <v>275</v>
      </c>
      <c r="Y37" t="s">
        <v>276</v>
      </c>
      <c r="Z37" t="s">
        <v>277</v>
      </c>
      <c r="AA37">
        <v>14</v>
      </c>
      <c r="AB37">
        <v>7</v>
      </c>
      <c r="AC37">
        <v>3682500</v>
      </c>
      <c r="AD37" t="s">
        <v>278</v>
      </c>
      <c r="AE37">
        <v>18</v>
      </c>
      <c r="AF37">
        <v>0</v>
      </c>
      <c r="AG37" t="s">
        <v>53</v>
      </c>
      <c r="AH37" t="s">
        <v>72</v>
      </c>
      <c r="AI37" t="s">
        <v>73</v>
      </c>
      <c r="AJ37" t="s">
        <v>74</v>
      </c>
      <c r="AK37" t="s">
        <v>56</v>
      </c>
      <c r="AL37">
        <v>16</v>
      </c>
      <c r="AM37">
        <v>0</v>
      </c>
      <c r="AN37" t="s">
        <v>50</v>
      </c>
      <c r="AO37" s="4" t="s">
        <v>85</v>
      </c>
      <c r="AP37" t="s">
        <v>272</v>
      </c>
      <c r="AQ37" t="s">
        <v>57</v>
      </c>
      <c r="AR37" t="s">
        <v>273</v>
      </c>
      <c r="AS37">
        <v>3570100</v>
      </c>
      <c r="AT37" t="s">
        <v>83</v>
      </c>
      <c r="AU37">
        <v>2</v>
      </c>
    </row>
    <row r="38" spans="1:48" x14ac:dyDescent="0.3">
      <c r="A38" t="s">
        <v>279</v>
      </c>
      <c r="B38" t="s">
        <v>280</v>
      </c>
      <c r="C38" t="s">
        <v>60</v>
      </c>
      <c r="D38" t="s">
        <v>61</v>
      </c>
      <c r="E38" t="s">
        <v>281</v>
      </c>
      <c r="F38" t="s">
        <v>270</v>
      </c>
      <c r="G38">
        <v>7</v>
      </c>
      <c r="H38">
        <v>10</v>
      </c>
      <c r="I38" t="s">
        <v>985</v>
      </c>
      <c r="J38" t="s">
        <v>1005</v>
      </c>
      <c r="K38" t="s">
        <v>48</v>
      </c>
      <c r="M38" t="s">
        <v>271</v>
      </c>
      <c r="N38">
        <v>3321400</v>
      </c>
      <c r="O38" t="s">
        <v>66</v>
      </c>
      <c r="Q38" t="s">
        <v>282</v>
      </c>
      <c r="R38" t="s">
        <v>283</v>
      </c>
      <c r="S38" t="s">
        <v>284</v>
      </c>
      <c r="T38">
        <v>7</v>
      </c>
      <c r="U38">
        <v>1</v>
      </c>
      <c r="V38">
        <v>3321400</v>
      </c>
      <c r="W38" t="s">
        <v>66</v>
      </c>
      <c r="X38" t="s">
        <v>282</v>
      </c>
      <c r="Y38" t="s">
        <v>283</v>
      </c>
      <c r="Z38" t="s">
        <v>284</v>
      </c>
      <c r="AA38">
        <v>7</v>
      </c>
      <c r="AB38">
        <v>1</v>
      </c>
      <c r="AC38">
        <v>3426000</v>
      </c>
      <c r="AD38" t="s">
        <v>71</v>
      </c>
      <c r="AE38">
        <v>8</v>
      </c>
      <c r="AF38">
        <v>0</v>
      </c>
      <c r="AG38" t="s">
        <v>53</v>
      </c>
      <c r="AH38" t="s">
        <v>72</v>
      </c>
      <c r="AI38" t="s">
        <v>73</v>
      </c>
      <c r="AJ38" t="s">
        <v>74</v>
      </c>
      <c r="AK38" t="s">
        <v>56</v>
      </c>
      <c r="AL38">
        <v>7</v>
      </c>
      <c r="AM38">
        <v>1</v>
      </c>
      <c r="AN38" t="s">
        <v>284</v>
      </c>
      <c r="AO38" s="4" t="s">
        <v>283</v>
      </c>
      <c r="AP38" t="s">
        <v>66</v>
      </c>
      <c r="AQ38" t="s">
        <v>285</v>
      </c>
      <c r="AR38" t="s">
        <v>282</v>
      </c>
      <c r="AS38">
        <v>3321400</v>
      </c>
      <c r="AT38" t="s">
        <v>959</v>
      </c>
      <c r="AU38">
        <v>1</v>
      </c>
      <c r="AV38" s="3" t="s">
        <v>960</v>
      </c>
    </row>
    <row r="39" spans="1:48" x14ac:dyDescent="0.3">
      <c r="A39" t="s">
        <v>286</v>
      </c>
      <c r="B39" t="s">
        <v>287</v>
      </c>
      <c r="C39" t="s">
        <v>78</v>
      </c>
      <c r="D39" t="s">
        <v>79</v>
      </c>
      <c r="E39" t="s">
        <v>80</v>
      </c>
      <c r="F39" t="s">
        <v>270</v>
      </c>
      <c r="G39">
        <v>3</v>
      </c>
      <c r="H39">
        <v>10</v>
      </c>
      <c r="I39" t="s">
        <v>985</v>
      </c>
      <c r="J39" t="s">
        <v>1006</v>
      </c>
      <c r="K39" t="s">
        <v>48</v>
      </c>
      <c r="M39" t="s">
        <v>271</v>
      </c>
      <c r="N39">
        <v>2873500</v>
      </c>
      <c r="O39" t="s">
        <v>82</v>
      </c>
      <c r="P39" t="s">
        <v>83</v>
      </c>
      <c r="Q39" t="s">
        <v>288</v>
      </c>
      <c r="R39" t="s">
        <v>190</v>
      </c>
      <c r="S39" t="s">
        <v>50</v>
      </c>
      <c r="T39">
        <v>2</v>
      </c>
      <c r="U39">
        <v>0</v>
      </c>
      <c r="V39">
        <v>2579400</v>
      </c>
      <c r="W39" t="s">
        <v>86</v>
      </c>
      <c r="X39" t="s">
        <v>289</v>
      </c>
      <c r="Y39" t="s">
        <v>290</v>
      </c>
      <c r="Z39" t="s">
        <v>89</v>
      </c>
      <c r="AA39">
        <v>1</v>
      </c>
      <c r="AB39">
        <v>0</v>
      </c>
      <c r="AC39">
        <v>2964000</v>
      </c>
      <c r="AD39" t="s">
        <v>90</v>
      </c>
      <c r="AE39">
        <v>4</v>
      </c>
      <c r="AF39">
        <v>0</v>
      </c>
      <c r="AG39" t="s">
        <v>53</v>
      </c>
      <c r="AH39" t="s">
        <v>72</v>
      </c>
      <c r="AI39" t="s">
        <v>73</v>
      </c>
      <c r="AJ39" t="s">
        <v>74</v>
      </c>
      <c r="AK39" t="s">
        <v>56</v>
      </c>
      <c r="AL39">
        <v>2</v>
      </c>
      <c r="AM39">
        <v>0</v>
      </c>
      <c r="AN39" t="s">
        <v>50</v>
      </c>
      <c r="AO39" s="4" t="s">
        <v>190</v>
      </c>
      <c r="AP39" t="s">
        <v>82</v>
      </c>
      <c r="AQ39" t="s">
        <v>57</v>
      </c>
      <c r="AR39" t="s">
        <v>288</v>
      </c>
      <c r="AS39">
        <v>2873500</v>
      </c>
      <c r="AT39" t="s">
        <v>83</v>
      </c>
      <c r="AU39">
        <v>2</v>
      </c>
    </row>
    <row r="40" spans="1:48" x14ac:dyDescent="0.3">
      <c r="A40" t="s">
        <v>291</v>
      </c>
      <c r="B40" t="s">
        <v>292</v>
      </c>
      <c r="C40" t="s">
        <v>78</v>
      </c>
      <c r="D40" t="s">
        <v>79</v>
      </c>
      <c r="E40" t="s">
        <v>80</v>
      </c>
      <c r="F40" t="s">
        <v>270</v>
      </c>
      <c r="G40">
        <v>3</v>
      </c>
      <c r="H40">
        <v>10</v>
      </c>
      <c r="I40" t="s">
        <v>985</v>
      </c>
      <c r="J40" t="s">
        <v>1007</v>
      </c>
      <c r="K40" t="s">
        <v>48</v>
      </c>
      <c r="M40" t="s">
        <v>271</v>
      </c>
      <c r="N40">
        <v>2873500</v>
      </c>
      <c r="O40" t="s">
        <v>82</v>
      </c>
      <c r="P40" t="s">
        <v>83</v>
      </c>
      <c r="Q40" t="s">
        <v>293</v>
      </c>
      <c r="R40" t="s">
        <v>190</v>
      </c>
      <c r="S40" t="s">
        <v>50</v>
      </c>
      <c r="T40">
        <v>2</v>
      </c>
      <c r="U40">
        <v>0</v>
      </c>
      <c r="V40">
        <v>2579400</v>
      </c>
      <c r="W40" t="s">
        <v>86</v>
      </c>
      <c r="X40" t="s">
        <v>294</v>
      </c>
      <c r="Y40" t="s">
        <v>88</v>
      </c>
      <c r="Z40" t="s">
        <v>89</v>
      </c>
      <c r="AA40">
        <v>1</v>
      </c>
      <c r="AB40">
        <v>0</v>
      </c>
      <c r="AC40">
        <v>2964000</v>
      </c>
      <c r="AD40" t="s">
        <v>90</v>
      </c>
      <c r="AE40">
        <v>4</v>
      </c>
      <c r="AF40">
        <v>0</v>
      </c>
      <c r="AG40" t="s">
        <v>53</v>
      </c>
      <c r="AH40" t="s">
        <v>72</v>
      </c>
      <c r="AI40" t="s">
        <v>73</v>
      </c>
      <c r="AJ40" t="s">
        <v>74</v>
      </c>
      <c r="AK40" t="s">
        <v>56</v>
      </c>
      <c r="AL40">
        <v>2</v>
      </c>
      <c r="AM40">
        <v>0</v>
      </c>
      <c r="AN40" t="s">
        <v>50</v>
      </c>
      <c r="AO40" s="4" t="s">
        <v>190</v>
      </c>
      <c r="AP40" t="s">
        <v>82</v>
      </c>
      <c r="AQ40" t="s">
        <v>57</v>
      </c>
      <c r="AR40" t="s">
        <v>293</v>
      </c>
      <c r="AS40">
        <v>2873500</v>
      </c>
      <c r="AT40" t="s">
        <v>83</v>
      </c>
      <c r="AU40">
        <v>2</v>
      </c>
    </row>
    <row r="41" spans="1:48" x14ac:dyDescent="0.3">
      <c r="A41" t="s">
        <v>295</v>
      </c>
      <c r="B41" t="s">
        <v>296</v>
      </c>
      <c r="C41" t="s">
        <v>78</v>
      </c>
      <c r="D41" t="s">
        <v>79</v>
      </c>
      <c r="E41" t="s">
        <v>80</v>
      </c>
      <c r="F41" t="s">
        <v>297</v>
      </c>
      <c r="G41">
        <v>3</v>
      </c>
      <c r="H41">
        <v>10</v>
      </c>
      <c r="I41" t="s">
        <v>985</v>
      </c>
      <c r="J41" t="s">
        <v>1008</v>
      </c>
      <c r="K41" t="s">
        <v>48</v>
      </c>
      <c r="M41" t="s">
        <v>298</v>
      </c>
      <c r="N41">
        <v>2873500</v>
      </c>
      <c r="O41" t="s">
        <v>82</v>
      </c>
      <c r="P41" t="s">
        <v>83</v>
      </c>
      <c r="Q41" t="s">
        <v>299</v>
      </c>
      <c r="R41" t="s">
        <v>85</v>
      </c>
      <c r="S41" t="s">
        <v>50</v>
      </c>
      <c r="T41">
        <v>2</v>
      </c>
      <c r="U41">
        <v>0</v>
      </c>
      <c r="V41">
        <v>2579400</v>
      </c>
      <c r="W41" t="s">
        <v>86</v>
      </c>
      <c r="X41" t="s">
        <v>300</v>
      </c>
      <c r="Y41" t="s">
        <v>88</v>
      </c>
      <c r="Z41" t="s">
        <v>89</v>
      </c>
      <c r="AA41">
        <v>1</v>
      </c>
      <c r="AB41">
        <v>0</v>
      </c>
      <c r="AC41">
        <v>2964000</v>
      </c>
      <c r="AD41" t="s">
        <v>90</v>
      </c>
      <c r="AE41">
        <v>4</v>
      </c>
      <c r="AF41">
        <v>0</v>
      </c>
      <c r="AG41" t="s">
        <v>53</v>
      </c>
      <c r="AH41" t="s">
        <v>72</v>
      </c>
      <c r="AI41" t="s">
        <v>73</v>
      </c>
      <c r="AJ41" t="s">
        <v>74</v>
      </c>
      <c r="AK41" t="s">
        <v>56</v>
      </c>
      <c r="AL41">
        <v>2</v>
      </c>
      <c r="AM41">
        <v>0</v>
      </c>
      <c r="AN41" t="s">
        <v>50</v>
      </c>
      <c r="AO41" s="4" t="s">
        <v>85</v>
      </c>
      <c r="AP41" t="s">
        <v>82</v>
      </c>
      <c r="AQ41" t="s">
        <v>57</v>
      </c>
      <c r="AR41" t="s">
        <v>299</v>
      </c>
      <c r="AS41">
        <v>2873500</v>
      </c>
      <c r="AT41" t="s">
        <v>83</v>
      </c>
      <c r="AU41">
        <v>2</v>
      </c>
    </row>
    <row r="42" spans="1:48" x14ac:dyDescent="0.3">
      <c r="A42" t="s">
        <v>301</v>
      </c>
      <c r="B42" t="s">
        <v>302</v>
      </c>
      <c r="C42" t="s">
        <v>78</v>
      </c>
      <c r="D42" t="s">
        <v>79</v>
      </c>
      <c r="E42" t="s">
        <v>80</v>
      </c>
      <c r="F42" t="s">
        <v>297</v>
      </c>
      <c r="G42">
        <v>3</v>
      </c>
      <c r="H42">
        <v>10</v>
      </c>
      <c r="I42" t="s">
        <v>985</v>
      </c>
      <c r="J42" t="s">
        <v>1009</v>
      </c>
      <c r="K42" t="s">
        <v>81</v>
      </c>
      <c r="M42" t="s">
        <v>298</v>
      </c>
      <c r="N42">
        <v>2873500</v>
      </c>
      <c r="O42" t="s">
        <v>82</v>
      </c>
      <c r="P42" t="s">
        <v>83</v>
      </c>
      <c r="Q42" t="s">
        <v>303</v>
      </c>
      <c r="R42" t="s">
        <v>85</v>
      </c>
      <c r="S42" t="s">
        <v>50</v>
      </c>
      <c r="T42">
        <v>2</v>
      </c>
      <c r="U42">
        <v>0</v>
      </c>
      <c r="V42">
        <v>2579400</v>
      </c>
      <c r="W42" t="s">
        <v>86</v>
      </c>
      <c r="X42" t="s">
        <v>304</v>
      </c>
      <c r="Y42" t="s">
        <v>88</v>
      </c>
      <c r="Z42" t="s">
        <v>89</v>
      </c>
      <c r="AA42">
        <v>1</v>
      </c>
      <c r="AB42">
        <v>0</v>
      </c>
      <c r="AC42">
        <v>2964000</v>
      </c>
      <c r="AD42" t="s">
        <v>90</v>
      </c>
      <c r="AE42">
        <v>4</v>
      </c>
      <c r="AF42">
        <v>0</v>
      </c>
      <c r="AG42" t="s">
        <v>53</v>
      </c>
      <c r="AH42" t="s">
        <v>72</v>
      </c>
      <c r="AI42" t="s">
        <v>73</v>
      </c>
      <c r="AJ42" t="s">
        <v>74</v>
      </c>
      <c r="AK42" t="s">
        <v>56</v>
      </c>
      <c r="AL42">
        <v>2</v>
      </c>
      <c r="AM42">
        <v>0</v>
      </c>
      <c r="AN42" t="s">
        <v>50</v>
      </c>
      <c r="AO42" s="4" t="s">
        <v>85</v>
      </c>
      <c r="AP42" t="s">
        <v>82</v>
      </c>
      <c r="AQ42" t="s">
        <v>57</v>
      </c>
      <c r="AR42" t="s">
        <v>303</v>
      </c>
      <c r="AS42">
        <v>2873500</v>
      </c>
      <c r="AT42" t="s">
        <v>83</v>
      </c>
      <c r="AU42">
        <v>2</v>
      </c>
    </row>
    <row r="43" spans="1:48" x14ac:dyDescent="0.3">
      <c r="A43" t="s">
        <v>305</v>
      </c>
      <c r="B43" t="s">
        <v>306</v>
      </c>
      <c r="C43" t="s">
        <v>78</v>
      </c>
      <c r="D43" t="s">
        <v>79</v>
      </c>
      <c r="E43" t="s">
        <v>93</v>
      </c>
      <c r="F43" t="s">
        <v>46</v>
      </c>
      <c r="G43">
        <v>3</v>
      </c>
      <c r="H43">
        <v>10</v>
      </c>
      <c r="I43" t="s">
        <v>985</v>
      </c>
      <c r="J43" t="s">
        <v>1010</v>
      </c>
      <c r="K43" t="s">
        <v>81</v>
      </c>
      <c r="M43" t="s">
        <v>49</v>
      </c>
      <c r="N43">
        <v>2873500</v>
      </c>
      <c r="O43" t="s">
        <v>82</v>
      </c>
      <c r="P43" t="s">
        <v>54</v>
      </c>
      <c r="Q43" t="s">
        <v>307</v>
      </c>
      <c r="R43" t="s">
        <v>308</v>
      </c>
      <c r="S43" t="s">
        <v>50</v>
      </c>
      <c r="T43">
        <v>2</v>
      </c>
      <c r="U43">
        <v>0</v>
      </c>
      <c r="V43">
        <v>2579400</v>
      </c>
      <c r="W43" t="s">
        <v>86</v>
      </c>
      <c r="X43" t="s">
        <v>309</v>
      </c>
      <c r="Y43" t="s">
        <v>88</v>
      </c>
      <c r="Z43" t="s">
        <v>89</v>
      </c>
      <c r="AA43">
        <v>1</v>
      </c>
      <c r="AB43">
        <v>0</v>
      </c>
      <c r="AC43">
        <v>2964000</v>
      </c>
      <c r="AD43" t="s">
        <v>90</v>
      </c>
      <c r="AE43">
        <v>4</v>
      </c>
      <c r="AF43">
        <v>0</v>
      </c>
      <c r="AG43" t="s">
        <v>53</v>
      </c>
      <c r="AH43" t="s">
        <v>72</v>
      </c>
      <c r="AI43" t="s">
        <v>73</v>
      </c>
      <c r="AJ43" t="s">
        <v>74</v>
      </c>
      <c r="AK43" t="s">
        <v>56</v>
      </c>
      <c r="AL43">
        <v>2</v>
      </c>
      <c r="AM43">
        <v>0</v>
      </c>
      <c r="AN43" t="s">
        <v>50</v>
      </c>
      <c r="AO43" s="4" t="s">
        <v>308</v>
      </c>
      <c r="AP43" t="s">
        <v>82</v>
      </c>
      <c r="AQ43" t="s">
        <v>57</v>
      </c>
      <c r="AR43" t="s">
        <v>307</v>
      </c>
      <c r="AS43">
        <v>2873500</v>
      </c>
      <c r="AT43" t="s">
        <v>54</v>
      </c>
      <c r="AU43">
        <v>2</v>
      </c>
    </row>
    <row r="44" spans="1:48" x14ac:dyDescent="0.3">
      <c r="A44" t="s">
        <v>310</v>
      </c>
      <c r="B44" t="s">
        <v>311</v>
      </c>
      <c r="C44" t="s">
        <v>78</v>
      </c>
      <c r="D44" t="s">
        <v>79</v>
      </c>
      <c r="E44" t="s">
        <v>80</v>
      </c>
      <c r="F44" t="s">
        <v>46</v>
      </c>
      <c r="G44">
        <v>3</v>
      </c>
      <c r="H44">
        <v>10</v>
      </c>
      <c r="I44" t="s">
        <v>985</v>
      </c>
      <c r="J44" t="s">
        <v>1011</v>
      </c>
      <c r="K44" t="s">
        <v>48</v>
      </c>
      <c r="M44" t="s">
        <v>49</v>
      </c>
      <c r="N44">
        <v>2873500</v>
      </c>
      <c r="O44" t="s">
        <v>82</v>
      </c>
      <c r="P44" t="s">
        <v>83</v>
      </c>
      <c r="Q44" t="s">
        <v>312</v>
      </c>
      <c r="R44" t="s">
        <v>85</v>
      </c>
      <c r="S44" t="s">
        <v>50</v>
      </c>
      <c r="T44">
        <v>2</v>
      </c>
      <c r="U44">
        <v>0</v>
      </c>
      <c r="V44">
        <v>2579400</v>
      </c>
      <c r="W44" t="s">
        <v>86</v>
      </c>
      <c r="X44" t="s">
        <v>313</v>
      </c>
      <c r="Y44" t="s">
        <v>88</v>
      </c>
      <c r="Z44" t="s">
        <v>89</v>
      </c>
      <c r="AA44">
        <v>1</v>
      </c>
      <c r="AB44">
        <v>0</v>
      </c>
      <c r="AC44">
        <v>2964000</v>
      </c>
      <c r="AD44" t="s">
        <v>90</v>
      </c>
      <c r="AE44">
        <v>4</v>
      </c>
      <c r="AF44">
        <v>0</v>
      </c>
      <c r="AG44" t="s">
        <v>53</v>
      </c>
      <c r="AH44" t="s">
        <v>72</v>
      </c>
      <c r="AI44" t="s">
        <v>73</v>
      </c>
      <c r="AJ44" t="s">
        <v>74</v>
      </c>
      <c r="AK44" t="s">
        <v>56</v>
      </c>
      <c r="AL44">
        <v>2</v>
      </c>
      <c r="AM44">
        <v>0</v>
      </c>
      <c r="AN44" t="s">
        <v>50</v>
      </c>
      <c r="AO44" s="4" t="s">
        <v>85</v>
      </c>
      <c r="AP44" t="s">
        <v>82</v>
      </c>
      <c r="AQ44" t="s">
        <v>57</v>
      </c>
      <c r="AR44" t="s">
        <v>312</v>
      </c>
      <c r="AS44">
        <v>2873500</v>
      </c>
      <c r="AT44" t="s">
        <v>83</v>
      </c>
      <c r="AU44">
        <v>2</v>
      </c>
    </row>
    <row r="45" spans="1:48" x14ac:dyDescent="0.3">
      <c r="A45" t="s">
        <v>314</v>
      </c>
      <c r="B45" t="s">
        <v>315</v>
      </c>
      <c r="C45" t="s">
        <v>78</v>
      </c>
      <c r="D45" t="s">
        <v>79</v>
      </c>
      <c r="E45" t="s">
        <v>80</v>
      </c>
      <c r="F45" t="s">
        <v>46</v>
      </c>
      <c r="G45">
        <v>3</v>
      </c>
      <c r="H45">
        <v>10</v>
      </c>
      <c r="I45" t="s">
        <v>985</v>
      </c>
      <c r="J45" t="s">
        <v>1012</v>
      </c>
      <c r="K45" t="s">
        <v>48</v>
      </c>
      <c r="M45" t="s">
        <v>49</v>
      </c>
      <c r="N45">
        <v>2873500</v>
      </c>
      <c r="O45" t="s">
        <v>82</v>
      </c>
      <c r="P45" t="s">
        <v>155</v>
      </c>
      <c r="Q45" t="s">
        <v>316</v>
      </c>
      <c r="R45" t="s">
        <v>231</v>
      </c>
      <c r="S45" t="s">
        <v>50</v>
      </c>
      <c r="T45">
        <v>2</v>
      </c>
      <c r="U45">
        <v>0</v>
      </c>
      <c r="V45">
        <v>2579400</v>
      </c>
      <c r="W45" t="s">
        <v>86</v>
      </c>
      <c r="X45" t="s">
        <v>317</v>
      </c>
      <c r="Y45" t="s">
        <v>88</v>
      </c>
      <c r="Z45" t="s">
        <v>89</v>
      </c>
      <c r="AA45">
        <v>1</v>
      </c>
      <c r="AB45">
        <v>0</v>
      </c>
      <c r="AC45">
        <v>2964000</v>
      </c>
      <c r="AD45" t="s">
        <v>90</v>
      </c>
      <c r="AE45">
        <v>4</v>
      </c>
      <c r="AF45">
        <v>0</v>
      </c>
      <c r="AG45" t="s">
        <v>53</v>
      </c>
      <c r="AH45" t="s">
        <v>72</v>
      </c>
      <c r="AI45" t="s">
        <v>73</v>
      </c>
      <c r="AJ45" t="s">
        <v>74</v>
      </c>
      <c r="AK45" t="s">
        <v>56</v>
      </c>
      <c r="AL45">
        <v>2</v>
      </c>
      <c r="AM45">
        <v>0</v>
      </c>
      <c r="AN45" t="s">
        <v>50</v>
      </c>
      <c r="AO45" s="4" t="s">
        <v>231</v>
      </c>
      <c r="AP45" t="s">
        <v>82</v>
      </c>
      <c r="AQ45" t="s">
        <v>57</v>
      </c>
      <c r="AR45" t="s">
        <v>316</v>
      </c>
      <c r="AS45">
        <v>2873500</v>
      </c>
      <c r="AT45" t="s">
        <v>83</v>
      </c>
      <c r="AU45">
        <v>2</v>
      </c>
    </row>
    <row r="46" spans="1:48" x14ac:dyDescent="0.3">
      <c r="A46" t="s">
        <v>318</v>
      </c>
      <c r="B46" t="s">
        <v>319</v>
      </c>
      <c r="C46" t="s">
        <v>78</v>
      </c>
      <c r="D46" t="s">
        <v>79</v>
      </c>
      <c r="E46" t="s">
        <v>80</v>
      </c>
      <c r="F46" t="s">
        <v>46</v>
      </c>
      <c r="G46">
        <v>3</v>
      </c>
      <c r="H46">
        <v>10</v>
      </c>
      <c r="I46" t="s">
        <v>985</v>
      </c>
      <c r="J46" t="s">
        <v>1013</v>
      </c>
      <c r="K46" t="s">
        <v>81</v>
      </c>
      <c r="M46" t="s">
        <v>49</v>
      </c>
      <c r="N46">
        <v>2873500</v>
      </c>
      <c r="O46" t="s">
        <v>82</v>
      </c>
      <c r="P46" t="s">
        <v>83</v>
      </c>
      <c r="Q46" t="s">
        <v>320</v>
      </c>
      <c r="R46" t="s">
        <v>85</v>
      </c>
      <c r="S46" t="s">
        <v>50</v>
      </c>
      <c r="T46">
        <v>2</v>
      </c>
      <c r="U46">
        <v>0</v>
      </c>
      <c r="V46">
        <v>2579400</v>
      </c>
      <c r="W46" t="s">
        <v>86</v>
      </c>
      <c r="X46" t="s">
        <v>321</v>
      </c>
      <c r="Y46" t="s">
        <v>88</v>
      </c>
      <c r="Z46" t="s">
        <v>89</v>
      </c>
      <c r="AA46">
        <v>1</v>
      </c>
      <c r="AB46">
        <v>0</v>
      </c>
      <c r="AC46">
        <v>2964000</v>
      </c>
      <c r="AD46" t="s">
        <v>90</v>
      </c>
      <c r="AE46">
        <v>4</v>
      </c>
      <c r="AF46">
        <v>0</v>
      </c>
      <c r="AG46" t="s">
        <v>53</v>
      </c>
      <c r="AH46" t="s">
        <v>72</v>
      </c>
      <c r="AI46" t="s">
        <v>73</v>
      </c>
      <c r="AJ46" t="s">
        <v>74</v>
      </c>
      <c r="AK46" t="s">
        <v>56</v>
      </c>
      <c r="AL46">
        <v>2</v>
      </c>
      <c r="AM46">
        <v>0</v>
      </c>
      <c r="AN46" t="s">
        <v>50</v>
      </c>
      <c r="AO46" s="4" t="s">
        <v>85</v>
      </c>
      <c r="AP46" t="s">
        <v>82</v>
      </c>
      <c r="AQ46" t="s">
        <v>57</v>
      </c>
      <c r="AR46" t="s">
        <v>320</v>
      </c>
      <c r="AS46">
        <v>2873500</v>
      </c>
      <c r="AT46" t="s">
        <v>83</v>
      </c>
      <c r="AU46">
        <v>2</v>
      </c>
    </row>
    <row r="47" spans="1:48" x14ac:dyDescent="0.3">
      <c r="A47" t="s">
        <v>322</v>
      </c>
      <c r="B47" t="s">
        <v>323</v>
      </c>
      <c r="C47" t="s">
        <v>78</v>
      </c>
      <c r="D47" t="s">
        <v>79</v>
      </c>
      <c r="E47" t="s">
        <v>80</v>
      </c>
      <c r="F47" t="s">
        <v>46</v>
      </c>
      <c r="G47">
        <v>3</v>
      </c>
      <c r="H47">
        <v>10</v>
      </c>
      <c r="I47" t="s">
        <v>985</v>
      </c>
      <c r="J47" t="s">
        <v>1014</v>
      </c>
      <c r="K47" t="s">
        <v>81</v>
      </c>
      <c r="M47" t="s">
        <v>49</v>
      </c>
      <c r="N47">
        <v>2873500</v>
      </c>
      <c r="O47" t="s">
        <v>82</v>
      </c>
      <c r="P47" t="s">
        <v>83</v>
      </c>
      <c r="Q47" t="s">
        <v>324</v>
      </c>
      <c r="R47" t="s">
        <v>85</v>
      </c>
      <c r="S47" t="s">
        <v>50</v>
      </c>
      <c r="T47">
        <v>2</v>
      </c>
      <c r="U47">
        <v>0</v>
      </c>
      <c r="V47">
        <v>2579400</v>
      </c>
      <c r="W47" t="s">
        <v>86</v>
      </c>
      <c r="X47" t="s">
        <v>325</v>
      </c>
      <c r="Y47" t="s">
        <v>88</v>
      </c>
      <c r="Z47" t="s">
        <v>89</v>
      </c>
      <c r="AA47">
        <v>1</v>
      </c>
      <c r="AB47">
        <v>0</v>
      </c>
      <c r="AC47">
        <v>2964000</v>
      </c>
      <c r="AD47" t="s">
        <v>90</v>
      </c>
      <c r="AE47">
        <v>4</v>
      </c>
      <c r="AF47">
        <v>0</v>
      </c>
      <c r="AG47" t="s">
        <v>53</v>
      </c>
      <c r="AH47" t="s">
        <v>72</v>
      </c>
      <c r="AI47" t="s">
        <v>73</v>
      </c>
      <c r="AJ47" t="s">
        <v>74</v>
      </c>
      <c r="AK47" t="s">
        <v>56</v>
      </c>
      <c r="AL47">
        <v>2</v>
      </c>
      <c r="AM47">
        <v>0</v>
      </c>
      <c r="AN47" t="s">
        <v>50</v>
      </c>
      <c r="AO47" s="4" t="s">
        <v>85</v>
      </c>
      <c r="AP47" t="s">
        <v>82</v>
      </c>
      <c r="AQ47" t="s">
        <v>57</v>
      </c>
      <c r="AR47" t="s">
        <v>324</v>
      </c>
      <c r="AS47">
        <v>2873500</v>
      </c>
      <c r="AT47" t="s">
        <v>83</v>
      </c>
      <c r="AU47">
        <v>2</v>
      </c>
    </row>
    <row r="48" spans="1:48" x14ac:dyDescent="0.3">
      <c r="A48" t="s">
        <v>326</v>
      </c>
      <c r="B48" t="s">
        <v>327</v>
      </c>
      <c r="C48" t="s">
        <v>78</v>
      </c>
      <c r="D48" t="s">
        <v>79</v>
      </c>
      <c r="E48" t="s">
        <v>80</v>
      </c>
      <c r="F48" t="s">
        <v>328</v>
      </c>
      <c r="G48">
        <v>3</v>
      </c>
      <c r="H48">
        <v>10</v>
      </c>
      <c r="I48" t="s">
        <v>985</v>
      </c>
      <c r="J48" t="s">
        <v>1015</v>
      </c>
      <c r="K48" t="s">
        <v>48</v>
      </c>
      <c r="M48" t="s">
        <v>329</v>
      </c>
      <c r="N48">
        <v>2873500</v>
      </c>
      <c r="O48" t="s">
        <v>82</v>
      </c>
      <c r="P48" t="s">
        <v>83</v>
      </c>
      <c r="Q48" t="s">
        <v>330</v>
      </c>
      <c r="R48" t="s">
        <v>85</v>
      </c>
      <c r="S48" t="s">
        <v>50</v>
      </c>
      <c r="T48">
        <v>2</v>
      </c>
      <c r="U48">
        <v>0</v>
      </c>
      <c r="V48">
        <v>2579400</v>
      </c>
      <c r="W48" t="s">
        <v>86</v>
      </c>
      <c r="X48" t="s">
        <v>331</v>
      </c>
      <c r="Y48" t="s">
        <v>88</v>
      </c>
      <c r="Z48" t="s">
        <v>89</v>
      </c>
      <c r="AA48">
        <v>1</v>
      </c>
      <c r="AB48">
        <v>0</v>
      </c>
      <c r="AC48">
        <v>2964000</v>
      </c>
      <c r="AD48" t="s">
        <v>90</v>
      </c>
      <c r="AE48">
        <v>4</v>
      </c>
      <c r="AF48">
        <v>0</v>
      </c>
      <c r="AG48" t="s">
        <v>53</v>
      </c>
      <c r="AH48" t="s">
        <v>72</v>
      </c>
      <c r="AI48" t="s">
        <v>73</v>
      </c>
      <c r="AJ48" t="s">
        <v>74</v>
      </c>
      <c r="AK48" t="s">
        <v>56</v>
      </c>
      <c r="AL48">
        <v>2</v>
      </c>
      <c r="AM48">
        <v>0</v>
      </c>
      <c r="AN48" t="s">
        <v>50</v>
      </c>
      <c r="AO48" s="4" t="s">
        <v>85</v>
      </c>
      <c r="AP48" t="s">
        <v>82</v>
      </c>
      <c r="AQ48" t="s">
        <v>57</v>
      </c>
      <c r="AR48" t="s">
        <v>330</v>
      </c>
      <c r="AS48">
        <v>2873500</v>
      </c>
      <c r="AT48" t="s">
        <v>83</v>
      </c>
      <c r="AU48">
        <v>2</v>
      </c>
    </row>
    <row r="49" spans="1:47" x14ac:dyDescent="0.3">
      <c r="A49" t="s">
        <v>332</v>
      </c>
      <c r="B49" t="s">
        <v>333</v>
      </c>
      <c r="C49" t="s">
        <v>78</v>
      </c>
      <c r="D49" t="s">
        <v>79</v>
      </c>
      <c r="E49" t="s">
        <v>80</v>
      </c>
      <c r="F49" t="s">
        <v>334</v>
      </c>
      <c r="G49">
        <v>3</v>
      </c>
      <c r="H49">
        <v>10</v>
      </c>
      <c r="I49" t="s">
        <v>985</v>
      </c>
      <c r="J49" t="s">
        <v>1016</v>
      </c>
      <c r="K49" t="s">
        <v>48</v>
      </c>
      <c r="M49" t="s">
        <v>335</v>
      </c>
      <c r="N49">
        <v>2873500</v>
      </c>
      <c r="O49" t="s">
        <v>82</v>
      </c>
      <c r="P49" t="s">
        <v>83</v>
      </c>
      <c r="Q49" t="s">
        <v>336</v>
      </c>
      <c r="R49" t="s">
        <v>85</v>
      </c>
      <c r="S49" t="s">
        <v>50</v>
      </c>
      <c r="T49">
        <v>2</v>
      </c>
      <c r="U49">
        <v>0</v>
      </c>
      <c r="V49">
        <v>2579400</v>
      </c>
      <c r="W49" t="s">
        <v>86</v>
      </c>
      <c r="X49" t="s">
        <v>337</v>
      </c>
      <c r="Y49" t="s">
        <v>88</v>
      </c>
      <c r="Z49" t="s">
        <v>89</v>
      </c>
      <c r="AA49">
        <v>1</v>
      </c>
      <c r="AB49">
        <v>0</v>
      </c>
      <c r="AC49">
        <v>2964000</v>
      </c>
      <c r="AD49" t="s">
        <v>90</v>
      </c>
      <c r="AE49">
        <v>4</v>
      </c>
      <c r="AF49">
        <v>0</v>
      </c>
      <c r="AG49" t="s">
        <v>53</v>
      </c>
      <c r="AH49" t="s">
        <v>72</v>
      </c>
      <c r="AI49" t="s">
        <v>73</v>
      </c>
      <c r="AJ49" t="s">
        <v>74</v>
      </c>
      <c r="AK49" t="s">
        <v>56</v>
      </c>
      <c r="AL49">
        <v>2</v>
      </c>
      <c r="AM49">
        <v>0</v>
      </c>
      <c r="AN49" t="s">
        <v>50</v>
      </c>
      <c r="AO49" s="4" t="s">
        <v>85</v>
      </c>
      <c r="AP49" t="s">
        <v>82</v>
      </c>
      <c r="AQ49" t="s">
        <v>57</v>
      </c>
      <c r="AR49" t="s">
        <v>336</v>
      </c>
      <c r="AS49">
        <v>2873500</v>
      </c>
      <c r="AT49" t="s">
        <v>83</v>
      </c>
      <c r="AU49">
        <v>2</v>
      </c>
    </row>
    <row r="50" spans="1:47" x14ac:dyDescent="0.3">
      <c r="A50" t="s">
        <v>338</v>
      </c>
      <c r="B50" t="s">
        <v>339</v>
      </c>
      <c r="C50" t="s">
        <v>78</v>
      </c>
      <c r="D50" t="s">
        <v>79</v>
      </c>
      <c r="E50" t="s">
        <v>80</v>
      </c>
      <c r="F50" t="s">
        <v>334</v>
      </c>
      <c r="G50">
        <v>3</v>
      </c>
      <c r="H50">
        <v>10</v>
      </c>
      <c r="I50" t="s">
        <v>985</v>
      </c>
      <c r="J50" t="s">
        <v>1017</v>
      </c>
      <c r="K50" t="s">
        <v>48</v>
      </c>
      <c r="M50" t="s">
        <v>335</v>
      </c>
      <c r="N50">
        <v>2873500</v>
      </c>
      <c r="O50" t="s">
        <v>82</v>
      </c>
      <c r="P50" t="s">
        <v>340</v>
      </c>
      <c r="Q50" t="s">
        <v>341</v>
      </c>
      <c r="R50" t="s">
        <v>342</v>
      </c>
      <c r="S50" t="s">
        <v>50</v>
      </c>
      <c r="T50">
        <v>2</v>
      </c>
      <c r="U50">
        <v>0</v>
      </c>
      <c r="V50">
        <v>2579400</v>
      </c>
      <c r="W50" t="s">
        <v>86</v>
      </c>
      <c r="X50" t="s">
        <v>343</v>
      </c>
      <c r="Y50" t="s">
        <v>88</v>
      </c>
      <c r="Z50" t="s">
        <v>89</v>
      </c>
      <c r="AA50">
        <v>1</v>
      </c>
      <c r="AB50">
        <v>0</v>
      </c>
      <c r="AC50">
        <v>2964000</v>
      </c>
      <c r="AD50" t="s">
        <v>90</v>
      </c>
      <c r="AE50">
        <v>4</v>
      </c>
      <c r="AF50">
        <v>0</v>
      </c>
      <c r="AG50" t="s">
        <v>53</v>
      </c>
      <c r="AH50" t="s">
        <v>72</v>
      </c>
      <c r="AI50" t="s">
        <v>73</v>
      </c>
      <c r="AJ50" t="s">
        <v>74</v>
      </c>
      <c r="AK50" t="s">
        <v>56</v>
      </c>
      <c r="AL50">
        <v>2</v>
      </c>
      <c r="AM50">
        <v>0</v>
      </c>
      <c r="AN50" t="s">
        <v>50</v>
      </c>
      <c r="AO50" s="4" t="s">
        <v>342</v>
      </c>
      <c r="AP50" t="s">
        <v>82</v>
      </c>
      <c r="AQ50" t="s">
        <v>57</v>
      </c>
      <c r="AR50" t="s">
        <v>341</v>
      </c>
      <c r="AS50">
        <v>2873500</v>
      </c>
      <c r="AT50" t="s">
        <v>83</v>
      </c>
      <c r="AU50">
        <v>2</v>
      </c>
    </row>
    <row r="51" spans="1:47" x14ac:dyDescent="0.3">
      <c r="A51" t="s">
        <v>344</v>
      </c>
      <c r="B51" t="s">
        <v>345</v>
      </c>
      <c r="C51" t="s">
        <v>78</v>
      </c>
      <c r="D51" t="s">
        <v>79</v>
      </c>
      <c r="E51" t="s">
        <v>80</v>
      </c>
      <c r="F51" t="s">
        <v>334</v>
      </c>
      <c r="G51">
        <v>3</v>
      </c>
      <c r="H51">
        <v>10</v>
      </c>
      <c r="I51" t="s">
        <v>985</v>
      </c>
      <c r="J51" t="s">
        <v>1018</v>
      </c>
      <c r="K51" t="s">
        <v>81</v>
      </c>
      <c r="M51" t="s">
        <v>335</v>
      </c>
      <c r="N51">
        <v>2873500</v>
      </c>
      <c r="O51" t="s">
        <v>82</v>
      </c>
      <c r="P51" t="s">
        <v>83</v>
      </c>
      <c r="Q51" t="s">
        <v>346</v>
      </c>
      <c r="R51" t="s">
        <v>85</v>
      </c>
      <c r="S51" t="s">
        <v>50</v>
      </c>
      <c r="T51">
        <v>2</v>
      </c>
      <c r="U51">
        <v>0</v>
      </c>
      <c r="V51">
        <v>2579400</v>
      </c>
      <c r="W51" t="s">
        <v>86</v>
      </c>
      <c r="X51" t="s">
        <v>347</v>
      </c>
      <c r="Y51" t="s">
        <v>88</v>
      </c>
      <c r="Z51" t="s">
        <v>89</v>
      </c>
      <c r="AA51">
        <v>1</v>
      </c>
      <c r="AB51">
        <v>0</v>
      </c>
      <c r="AC51">
        <v>2964000</v>
      </c>
      <c r="AD51" t="s">
        <v>90</v>
      </c>
      <c r="AE51">
        <v>4</v>
      </c>
      <c r="AF51">
        <v>0</v>
      </c>
      <c r="AG51" t="s">
        <v>53</v>
      </c>
      <c r="AH51" t="s">
        <v>72</v>
      </c>
      <c r="AI51" t="s">
        <v>73</v>
      </c>
      <c r="AJ51" t="s">
        <v>74</v>
      </c>
      <c r="AK51" t="s">
        <v>56</v>
      </c>
      <c r="AL51">
        <v>2</v>
      </c>
      <c r="AM51">
        <v>0</v>
      </c>
      <c r="AN51" t="s">
        <v>50</v>
      </c>
      <c r="AO51" s="4" t="s">
        <v>85</v>
      </c>
      <c r="AP51" t="s">
        <v>82</v>
      </c>
      <c r="AQ51" t="s">
        <v>57</v>
      </c>
      <c r="AR51" t="s">
        <v>346</v>
      </c>
      <c r="AS51">
        <v>2873500</v>
      </c>
      <c r="AT51" t="s">
        <v>83</v>
      </c>
      <c r="AU51">
        <v>2</v>
      </c>
    </row>
    <row r="52" spans="1:47" x14ac:dyDescent="0.3">
      <c r="A52" t="s">
        <v>348</v>
      </c>
      <c r="B52" t="s">
        <v>349</v>
      </c>
      <c r="C52" t="s">
        <v>78</v>
      </c>
      <c r="D52" t="s">
        <v>79</v>
      </c>
      <c r="E52" t="s">
        <v>80</v>
      </c>
      <c r="F52" t="s">
        <v>350</v>
      </c>
      <c r="G52">
        <v>3</v>
      </c>
      <c r="H52">
        <v>10</v>
      </c>
      <c r="I52" t="s">
        <v>985</v>
      </c>
      <c r="J52" t="s">
        <v>1019</v>
      </c>
      <c r="K52" t="s">
        <v>48</v>
      </c>
      <c r="M52" t="s">
        <v>351</v>
      </c>
      <c r="N52">
        <v>2873500</v>
      </c>
      <c r="O52" t="s">
        <v>82</v>
      </c>
      <c r="P52" t="s">
        <v>83</v>
      </c>
      <c r="Q52" t="s">
        <v>352</v>
      </c>
      <c r="R52" t="s">
        <v>129</v>
      </c>
      <c r="S52" t="s">
        <v>50</v>
      </c>
      <c r="T52">
        <v>2</v>
      </c>
      <c r="U52">
        <v>0</v>
      </c>
      <c r="V52">
        <v>2579400</v>
      </c>
      <c r="W52" t="s">
        <v>86</v>
      </c>
      <c r="X52" t="s">
        <v>353</v>
      </c>
      <c r="Y52" t="s">
        <v>88</v>
      </c>
      <c r="Z52" t="s">
        <v>89</v>
      </c>
      <c r="AA52">
        <v>1</v>
      </c>
      <c r="AB52">
        <v>0</v>
      </c>
      <c r="AC52">
        <v>2964000</v>
      </c>
      <c r="AD52" t="s">
        <v>90</v>
      </c>
      <c r="AE52">
        <v>4</v>
      </c>
      <c r="AF52">
        <v>0</v>
      </c>
      <c r="AG52" t="s">
        <v>53</v>
      </c>
      <c r="AH52" t="s">
        <v>72</v>
      </c>
      <c r="AI52" t="s">
        <v>73</v>
      </c>
      <c r="AJ52" t="s">
        <v>74</v>
      </c>
      <c r="AK52" t="s">
        <v>56</v>
      </c>
      <c r="AL52">
        <v>2</v>
      </c>
      <c r="AM52">
        <v>0</v>
      </c>
      <c r="AN52" t="s">
        <v>50</v>
      </c>
      <c r="AO52" s="4" t="s">
        <v>129</v>
      </c>
      <c r="AP52" t="s">
        <v>82</v>
      </c>
      <c r="AQ52" t="s">
        <v>57</v>
      </c>
      <c r="AR52" t="s">
        <v>352</v>
      </c>
      <c r="AS52">
        <v>2873500</v>
      </c>
      <c r="AT52" t="s">
        <v>83</v>
      </c>
      <c r="AU52">
        <v>2</v>
      </c>
    </row>
    <row r="53" spans="1:47" x14ac:dyDescent="0.3">
      <c r="A53" t="s">
        <v>354</v>
      </c>
      <c r="B53" t="s">
        <v>355</v>
      </c>
      <c r="C53" t="s">
        <v>78</v>
      </c>
      <c r="D53" t="s">
        <v>79</v>
      </c>
      <c r="E53" t="s">
        <v>80</v>
      </c>
      <c r="F53" t="s">
        <v>350</v>
      </c>
      <c r="G53">
        <v>3</v>
      </c>
      <c r="H53">
        <v>10</v>
      </c>
      <c r="I53" t="s">
        <v>985</v>
      </c>
      <c r="J53" t="s">
        <v>1020</v>
      </c>
      <c r="K53" t="s">
        <v>48</v>
      </c>
      <c r="M53" t="s">
        <v>351</v>
      </c>
      <c r="N53">
        <v>2873500</v>
      </c>
      <c r="O53" t="s">
        <v>82</v>
      </c>
      <c r="P53" t="s">
        <v>83</v>
      </c>
      <c r="Q53" t="s">
        <v>356</v>
      </c>
      <c r="R53" t="s">
        <v>129</v>
      </c>
      <c r="S53" t="s">
        <v>50</v>
      </c>
      <c r="T53">
        <v>2</v>
      </c>
      <c r="U53">
        <v>0</v>
      </c>
      <c r="V53">
        <v>2579400</v>
      </c>
      <c r="W53" t="s">
        <v>86</v>
      </c>
      <c r="X53" t="s">
        <v>357</v>
      </c>
      <c r="Y53" t="s">
        <v>88</v>
      </c>
      <c r="Z53" t="s">
        <v>89</v>
      </c>
      <c r="AA53">
        <v>1</v>
      </c>
      <c r="AB53">
        <v>0</v>
      </c>
      <c r="AC53">
        <v>2964000</v>
      </c>
      <c r="AD53" t="s">
        <v>90</v>
      </c>
      <c r="AE53">
        <v>4</v>
      </c>
      <c r="AF53">
        <v>0</v>
      </c>
      <c r="AG53" t="s">
        <v>53</v>
      </c>
      <c r="AH53" t="s">
        <v>72</v>
      </c>
      <c r="AI53" t="s">
        <v>73</v>
      </c>
      <c r="AJ53" t="s">
        <v>74</v>
      </c>
      <c r="AK53" t="s">
        <v>56</v>
      </c>
      <c r="AL53">
        <v>2</v>
      </c>
      <c r="AM53">
        <v>0</v>
      </c>
      <c r="AN53" t="s">
        <v>50</v>
      </c>
      <c r="AO53" s="4" t="s">
        <v>129</v>
      </c>
      <c r="AP53" t="s">
        <v>82</v>
      </c>
      <c r="AQ53" t="s">
        <v>57</v>
      </c>
      <c r="AR53" t="s">
        <v>356</v>
      </c>
      <c r="AS53">
        <v>2873500</v>
      </c>
      <c r="AT53" t="s">
        <v>83</v>
      </c>
      <c r="AU53">
        <v>2</v>
      </c>
    </row>
    <row r="54" spans="1:47" x14ac:dyDescent="0.3">
      <c r="A54" t="s">
        <v>358</v>
      </c>
      <c r="B54" t="s">
        <v>359</v>
      </c>
      <c r="C54" t="s">
        <v>78</v>
      </c>
      <c r="D54" t="s">
        <v>79</v>
      </c>
      <c r="E54" t="s">
        <v>80</v>
      </c>
      <c r="F54" t="s">
        <v>360</v>
      </c>
      <c r="G54">
        <v>3</v>
      </c>
      <c r="H54">
        <v>10</v>
      </c>
      <c r="I54" t="s">
        <v>985</v>
      </c>
      <c r="J54" t="s">
        <v>1021</v>
      </c>
      <c r="K54" t="s">
        <v>48</v>
      </c>
      <c r="M54" t="s">
        <v>361</v>
      </c>
      <c r="N54">
        <v>2873500</v>
      </c>
      <c r="O54" t="s">
        <v>82</v>
      </c>
      <c r="P54" t="s">
        <v>83</v>
      </c>
      <c r="Q54" t="s">
        <v>362</v>
      </c>
      <c r="R54" t="s">
        <v>129</v>
      </c>
      <c r="S54" t="s">
        <v>50</v>
      </c>
      <c r="T54">
        <v>2</v>
      </c>
      <c r="U54">
        <v>0</v>
      </c>
      <c r="V54">
        <v>2579400</v>
      </c>
      <c r="W54" t="s">
        <v>86</v>
      </c>
      <c r="X54" t="s">
        <v>363</v>
      </c>
      <c r="Y54" t="s">
        <v>88</v>
      </c>
      <c r="Z54" t="s">
        <v>89</v>
      </c>
      <c r="AA54">
        <v>1</v>
      </c>
      <c r="AB54">
        <v>0</v>
      </c>
      <c r="AC54">
        <v>2964000</v>
      </c>
      <c r="AD54" t="s">
        <v>90</v>
      </c>
      <c r="AE54">
        <v>4</v>
      </c>
      <c r="AF54">
        <v>0</v>
      </c>
      <c r="AG54" t="s">
        <v>53</v>
      </c>
      <c r="AH54" t="s">
        <v>72</v>
      </c>
      <c r="AI54" t="s">
        <v>73</v>
      </c>
      <c r="AJ54" t="s">
        <v>74</v>
      </c>
      <c r="AK54" t="s">
        <v>56</v>
      </c>
      <c r="AL54">
        <v>2</v>
      </c>
      <c r="AM54">
        <v>0</v>
      </c>
      <c r="AN54" t="s">
        <v>50</v>
      </c>
      <c r="AO54" s="4" t="s">
        <v>129</v>
      </c>
      <c r="AP54" t="s">
        <v>82</v>
      </c>
      <c r="AQ54" t="s">
        <v>57</v>
      </c>
      <c r="AR54" t="s">
        <v>362</v>
      </c>
      <c r="AS54">
        <v>2873500</v>
      </c>
      <c r="AT54" t="s">
        <v>83</v>
      </c>
      <c r="AU54">
        <v>2</v>
      </c>
    </row>
    <row r="55" spans="1:47" x14ac:dyDescent="0.3">
      <c r="A55" t="s">
        <v>364</v>
      </c>
      <c r="B55" t="s">
        <v>365</v>
      </c>
      <c r="C55" t="s">
        <v>78</v>
      </c>
      <c r="D55" t="s">
        <v>79</v>
      </c>
      <c r="E55" t="s">
        <v>80</v>
      </c>
      <c r="F55" t="s">
        <v>360</v>
      </c>
      <c r="G55">
        <v>3</v>
      </c>
      <c r="H55">
        <v>10</v>
      </c>
      <c r="I55" t="s">
        <v>985</v>
      </c>
      <c r="J55" t="s">
        <v>1022</v>
      </c>
      <c r="K55" t="s">
        <v>48</v>
      </c>
      <c r="M55" t="s">
        <v>361</v>
      </c>
      <c r="N55">
        <v>2873500</v>
      </c>
      <c r="O55" t="s">
        <v>82</v>
      </c>
      <c r="P55" t="s">
        <v>83</v>
      </c>
      <c r="Q55" t="s">
        <v>366</v>
      </c>
      <c r="R55" t="s">
        <v>129</v>
      </c>
      <c r="S55" t="s">
        <v>50</v>
      </c>
      <c r="T55">
        <v>2</v>
      </c>
      <c r="U55">
        <v>0</v>
      </c>
      <c r="V55">
        <v>2579400</v>
      </c>
      <c r="W55" t="s">
        <v>86</v>
      </c>
      <c r="X55" t="s">
        <v>367</v>
      </c>
      <c r="Y55" t="s">
        <v>88</v>
      </c>
      <c r="Z55" t="s">
        <v>89</v>
      </c>
      <c r="AA55">
        <v>1</v>
      </c>
      <c r="AB55">
        <v>0</v>
      </c>
      <c r="AC55">
        <v>2964000</v>
      </c>
      <c r="AD55" t="s">
        <v>90</v>
      </c>
      <c r="AE55">
        <v>4</v>
      </c>
      <c r="AF55">
        <v>0</v>
      </c>
      <c r="AG55" t="s">
        <v>53</v>
      </c>
      <c r="AH55" t="s">
        <v>72</v>
      </c>
      <c r="AI55" t="s">
        <v>73</v>
      </c>
      <c r="AJ55" t="s">
        <v>74</v>
      </c>
      <c r="AK55" t="s">
        <v>56</v>
      </c>
      <c r="AL55">
        <v>2</v>
      </c>
      <c r="AM55">
        <v>0</v>
      </c>
      <c r="AN55" t="s">
        <v>50</v>
      </c>
      <c r="AO55" s="4" t="s">
        <v>129</v>
      </c>
      <c r="AP55" t="s">
        <v>82</v>
      </c>
      <c r="AQ55" t="s">
        <v>57</v>
      </c>
      <c r="AR55" t="s">
        <v>366</v>
      </c>
      <c r="AS55">
        <v>2873500</v>
      </c>
      <c r="AT55" t="s">
        <v>83</v>
      </c>
      <c r="AU55">
        <v>2</v>
      </c>
    </row>
    <row r="56" spans="1:47" x14ac:dyDescent="0.3">
      <c r="A56" t="s">
        <v>368</v>
      </c>
      <c r="B56" t="s">
        <v>369</v>
      </c>
      <c r="C56" t="s">
        <v>78</v>
      </c>
      <c r="D56" t="s">
        <v>79</v>
      </c>
      <c r="E56" t="s">
        <v>80</v>
      </c>
      <c r="F56" t="s">
        <v>370</v>
      </c>
      <c r="G56">
        <v>3</v>
      </c>
      <c r="H56">
        <v>10</v>
      </c>
      <c r="I56" t="s">
        <v>985</v>
      </c>
      <c r="J56" t="s">
        <v>1023</v>
      </c>
      <c r="K56" t="s">
        <v>48</v>
      </c>
      <c r="M56" t="s">
        <v>371</v>
      </c>
      <c r="N56">
        <v>2873500</v>
      </c>
      <c r="O56" t="s">
        <v>82</v>
      </c>
      <c r="P56" t="s">
        <v>83</v>
      </c>
      <c r="Q56" t="s">
        <v>372</v>
      </c>
      <c r="R56" t="s">
        <v>129</v>
      </c>
      <c r="S56" t="s">
        <v>50</v>
      </c>
      <c r="T56">
        <v>2</v>
      </c>
      <c r="U56">
        <v>0</v>
      </c>
      <c r="V56">
        <v>2579400</v>
      </c>
      <c r="W56" t="s">
        <v>86</v>
      </c>
      <c r="X56" t="s">
        <v>373</v>
      </c>
      <c r="Y56" t="s">
        <v>88</v>
      </c>
      <c r="Z56" t="s">
        <v>89</v>
      </c>
      <c r="AA56">
        <v>1</v>
      </c>
      <c r="AB56">
        <v>0</v>
      </c>
      <c r="AC56">
        <v>2964000</v>
      </c>
      <c r="AD56" t="s">
        <v>90</v>
      </c>
      <c r="AE56">
        <v>4</v>
      </c>
      <c r="AF56">
        <v>0</v>
      </c>
      <c r="AG56" t="s">
        <v>53</v>
      </c>
      <c r="AH56" t="s">
        <v>72</v>
      </c>
      <c r="AI56" t="s">
        <v>73</v>
      </c>
      <c r="AJ56" t="s">
        <v>74</v>
      </c>
      <c r="AK56" t="s">
        <v>56</v>
      </c>
      <c r="AL56">
        <v>2</v>
      </c>
      <c r="AM56">
        <v>0</v>
      </c>
      <c r="AN56" t="s">
        <v>50</v>
      </c>
      <c r="AO56" s="4" t="s">
        <v>129</v>
      </c>
      <c r="AP56" t="s">
        <v>82</v>
      </c>
      <c r="AQ56" t="s">
        <v>57</v>
      </c>
      <c r="AR56" t="s">
        <v>372</v>
      </c>
      <c r="AS56">
        <v>2873500</v>
      </c>
      <c r="AT56" t="s">
        <v>83</v>
      </c>
      <c r="AU56">
        <v>2</v>
      </c>
    </row>
    <row r="57" spans="1:47" x14ac:dyDescent="0.3">
      <c r="A57" t="s">
        <v>374</v>
      </c>
      <c r="B57" t="s">
        <v>375</v>
      </c>
      <c r="C57" t="s">
        <v>78</v>
      </c>
      <c r="D57" t="s">
        <v>79</v>
      </c>
      <c r="E57" t="s">
        <v>80</v>
      </c>
      <c r="F57" t="s">
        <v>370</v>
      </c>
      <c r="G57">
        <v>3</v>
      </c>
      <c r="H57">
        <v>10</v>
      </c>
      <c r="I57" t="s">
        <v>985</v>
      </c>
      <c r="J57" t="s">
        <v>1024</v>
      </c>
      <c r="K57" t="s">
        <v>81</v>
      </c>
      <c r="M57" t="s">
        <v>371</v>
      </c>
      <c r="N57">
        <v>2873500</v>
      </c>
      <c r="O57" t="s">
        <v>82</v>
      </c>
      <c r="P57" t="s">
        <v>83</v>
      </c>
      <c r="Q57" t="s">
        <v>376</v>
      </c>
      <c r="R57" t="s">
        <v>129</v>
      </c>
      <c r="S57" t="s">
        <v>50</v>
      </c>
      <c r="T57">
        <v>2</v>
      </c>
      <c r="U57">
        <v>0</v>
      </c>
      <c r="V57">
        <v>2579400</v>
      </c>
      <c r="W57" t="s">
        <v>86</v>
      </c>
      <c r="X57" t="s">
        <v>377</v>
      </c>
      <c r="Y57" t="s">
        <v>88</v>
      </c>
      <c r="Z57" t="s">
        <v>89</v>
      </c>
      <c r="AA57">
        <v>1</v>
      </c>
      <c r="AB57">
        <v>0</v>
      </c>
      <c r="AC57">
        <v>2964000</v>
      </c>
      <c r="AD57" t="s">
        <v>90</v>
      </c>
      <c r="AE57">
        <v>4</v>
      </c>
      <c r="AF57">
        <v>0</v>
      </c>
      <c r="AG57" t="s">
        <v>53</v>
      </c>
      <c r="AH57" t="s">
        <v>72</v>
      </c>
      <c r="AI57" t="s">
        <v>73</v>
      </c>
      <c r="AJ57" t="s">
        <v>74</v>
      </c>
      <c r="AK57" t="s">
        <v>56</v>
      </c>
      <c r="AL57">
        <v>2</v>
      </c>
      <c r="AM57">
        <v>0</v>
      </c>
      <c r="AN57" t="s">
        <v>50</v>
      </c>
      <c r="AO57" s="4" t="s">
        <v>129</v>
      </c>
      <c r="AP57" t="s">
        <v>82</v>
      </c>
      <c r="AQ57" t="s">
        <v>57</v>
      </c>
      <c r="AR57" t="s">
        <v>376</v>
      </c>
      <c r="AS57">
        <v>2873500</v>
      </c>
      <c r="AT57" t="s">
        <v>83</v>
      </c>
      <c r="AU57">
        <v>2</v>
      </c>
    </row>
    <row r="58" spans="1:47" x14ac:dyDescent="0.3">
      <c r="A58" t="s">
        <v>378</v>
      </c>
      <c r="B58" t="s">
        <v>379</v>
      </c>
      <c r="C58" t="s">
        <v>78</v>
      </c>
      <c r="D58" t="s">
        <v>79</v>
      </c>
      <c r="E58" t="s">
        <v>80</v>
      </c>
      <c r="F58" t="s">
        <v>370</v>
      </c>
      <c r="G58">
        <v>3</v>
      </c>
      <c r="H58">
        <v>10</v>
      </c>
      <c r="I58" t="s">
        <v>985</v>
      </c>
      <c r="J58" t="s">
        <v>1025</v>
      </c>
      <c r="K58" t="s">
        <v>48</v>
      </c>
      <c r="M58" t="s">
        <v>371</v>
      </c>
      <c r="N58">
        <v>2873500</v>
      </c>
      <c r="O58" t="s">
        <v>82</v>
      </c>
      <c r="P58" t="s">
        <v>83</v>
      </c>
      <c r="Q58" t="s">
        <v>380</v>
      </c>
      <c r="R58" t="s">
        <v>129</v>
      </c>
      <c r="S58" t="s">
        <v>50</v>
      </c>
      <c r="T58">
        <v>2</v>
      </c>
      <c r="U58">
        <v>0</v>
      </c>
      <c r="V58">
        <v>2579400</v>
      </c>
      <c r="W58" t="s">
        <v>86</v>
      </c>
      <c r="X58" t="s">
        <v>381</v>
      </c>
      <c r="Y58" t="s">
        <v>88</v>
      </c>
      <c r="Z58" t="s">
        <v>89</v>
      </c>
      <c r="AA58">
        <v>1</v>
      </c>
      <c r="AB58">
        <v>0</v>
      </c>
      <c r="AC58">
        <v>2964000</v>
      </c>
      <c r="AD58" t="s">
        <v>90</v>
      </c>
      <c r="AE58">
        <v>4</v>
      </c>
      <c r="AF58">
        <v>0</v>
      </c>
      <c r="AG58" t="s">
        <v>53</v>
      </c>
      <c r="AH58" t="s">
        <v>72</v>
      </c>
      <c r="AI58" t="s">
        <v>73</v>
      </c>
      <c r="AJ58" t="s">
        <v>74</v>
      </c>
      <c r="AK58" t="s">
        <v>56</v>
      </c>
      <c r="AL58">
        <v>2</v>
      </c>
      <c r="AM58">
        <v>0</v>
      </c>
      <c r="AN58" t="s">
        <v>50</v>
      </c>
      <c r="AO58" s="4" t="s">
        <v>129</v>
      </c>
      <c r="AP58" t="s">
        <v>82</v>
      </c>
      <c r="AQ58" t="s">
        <v>57</v>
      </c>
      <c r="AR58" t="s">
        <v>380</v>
      </c>
      <c r="AS58">
        <v>2873500</v>
      </c>
      <c r="AT58" t="s">
        <v>83</v>
      </c>
      <c r="AU58">
        <v>2</v>
      </c>
    </row>
    <row r="59" spans="1:47" x14ac:dyDescent="0.3">
      <c r="A59" t="s">
        <v>382</v>
      </c>
      <c r="B59" t="s">
        <v>383</v>
      </c>
      <c r="C59" t="s">
        <v>78</v>
      </c>
      <c r="D59" t="s">
        <v>79</v>
      </c>
      <c r="E59" t="s">
        <v>384</v>
      </c>
      <c r="F59" t="s">
        <v>385</v>
      </c>
      <c r="G59">
        <v>3</v>
      </c>
      <c r="H59">
        <v>10</v>
      </c>
      <c r="I59" t="s">
        <v>985</v>
      </c>
      <c r="J59" t="s">
        <v>1026</v>
      </c>
      <c r="K59" t="s">
        <v>48</v>
      </c>
      <c r="M59" t="s">
        <v>386</v>
      </c>
      <c r="N59">
        <v>2873500</v>
      </c>
      <c r="O59" t="s">
        <v>82</v>
      </c>
      <c r="P59" t="s">
        <v>83</v>
      </c>
      <c r="Q59" t="s">
        <v>387</v>
      </c>
      <c r="R59" t="s">
        <v>129</v>
      </c>
      <c r="S59" t="s">
        <v>50</v>
      </c>
      <c r="T59">
        <v>2</v>
      </c>
      <c r="U59">
        <v>0</v>
      </c>
      <c r="V59">
        <v>2579400</v>
      </c>
      <c r="W59" t="s">
        <v>86</v>
      </c>
      <c r="X59" t="s">
        <v>388</v>
      </c>
      <c r="Y59" t="s">
        <v>88</v>
      </c>
      <c r="Z59" t="s">
        <v>89</v>
      </c>
      <c r="AA59">
        <v>1</v>
      </c>
      <c r="AB59">
        <v>0</v>
      </c>
      <c r="AC59">
        <v>2964000</v>
      </c>
      <c r="AD59" t="s">
        <v>90</v>
      </c>
      <c r="AE59">
        <v>4</v>
      </c>
      <c r="AF59">
        <v>0</v>
      </c>
      <c r="AG59" t="s">
        <v>53</v>
      </c>
      <c r="AH59" t="s">
        <v>72</v>
      </c>
      <c r="AI59" t="s">
        <v>73</v>
      </c>
      <c r="AJ59" t="s">
        <v>74</v>
      </c>
      <c r="AK59" t="s">
        <v>56</v>
      </c>
      <c r="AL59">
        <v>2</v>
      </c>
      <c r="AM59">
        <v>0</v>
      </c>
      <c r="AN59" t="s">
        <v>50</v>
      </c>
      <c r="AO59" s="4" t="s">
        <v>129</v>
      </c>
      <c r="AP59" t="s">
        <v>82</v>
      </c>
      <c r="AQ59" t="s">
        <v>57</v>
      </c>
      <c r="AR59" t="s">
        <v>387</v>
      </c>
      <c r="AS59">
        <v>2873500</v>
      </c>
      <c r="AT59" t="s">
        <v>83</v>
      </c>
      <c r="AU59">
        <v>2</v>
      </c>
    </row>
    <row r="60" spans="1:47" x14ac:dyDescent="0.3">
      <c r="A60" t="s">
        <v>389</v>
      </c>
      <c r="B60" t="s">
        <v>390</v>
      </c>
      <c r="C60" t="s">
        <v>78</v>
      </c>
      <c r="D60" t="s">
        <v>79</v>
      </c>
      <c r="E60" t="s">
        <v>80</v>
      </c>
      <c r="F60" t="s">
        <v>391</v>
      </c>
      <c r="G60">
        <v>3</v>
      </c>
      <c r="H60">
        <v>10</v>
      </c>
      <c r="I60" t="s">
        <v>985</v>
      </c>
      <c r="J60" t="s">
        <v>1027</v>
      </c>
      <c r="K60" t="s">
        <v>48</v>
      </c>
      <c r="M60" t="s">
        <v>392</v>
      </c>
      <c r="N60">
        <v>2873500</v>
      </c>
      <c r="O60" t="s">
        <v>82</v>
      </c>
      <c r="P60" t="s">
        <v>83</v>
      </c>
      <c r="Q60" t="s">
        <v>393</v>
      </c>
      <c r="R60" t="s">
        <v>129</v>
      </c>
      <c r="S60" t="s">
        <v>50</v>
      </c>
      <c r="T60">
        <v>2</v>
      </c>
      <c r="U60">
        <v>0</v>
      </c>
      <c r="V60">
        <v>2579400</v>
      </c>
      <c r="W60" t="s">
        <v>86</v>
      </c>
      <c r="X60" t="s">
        <v>394</v>
      </c>
      <c r="Y60" t="s">
        <v>88</v>
      </c>
      <c r="Z60" t="s">
        <v>89</v>
      </c>
      <c r="AA60">
        <v>1</v>
      </c>
      <c r="AB60">
        <v>0</v>
      </c>
      <c r="AC60">
        <v>2964000</v>
      </c>
      <c r="AD60" t="s">
        <v>90</v>
      </c>
      <c r="AE60">
        <v>4</v>
      </c>
      <c r="AF60">
        <v>0</v>
      </c>
      <c r="AG60" t="s">
        <v>53</v>
      </c>
      <c r="AH60" t="s">
        <v>72</v>
      </c>
      <c r="AI60" t="s">
        <v>73</v>
      </c>
      <c r="AJ60" t="s">
        <v>74</v>
      </c>
      <c r="AK60" t="s">
        <v>56</v>
      </c>
      <c r="AL60">
        <v>2</v>
      </c>
      <c r="AM60">
        <v>0</v>
      </c>
      <c r="AN60" t="s">
        <v>50</v>
      </c>
      <c r="AO60" s="4" t="s">
        <v>129</v>
      </c>
      <c r="AP60" t="s">
        <v>82</v>
      </c>
      <c r="AQ60" t="s">
        <v>57</v>
      </c>
      <c r="AR60" t="s">
        <v>393</v>
      </c>
      <c r="AS60">
        <v>2873500</v>
      </c>
      <c r="AT60" t="s">
        <v>83</v>
      </c>
      <c r="AU60">
        <v>2</v>
      </c>
    </row>
    <row r="61" spans="1:47" x14ac:dyDescent="0.3">
      <c r="A61" t="s">
        <v>395</v>
      </c>
      <c r="B61" t="s">
        <v>396</v>
      </c>
      <c r="C61" t="s">
        <v>78</v>
      </c>
      <c r="D61" t="s">
        <v>79</v>
      </c>
      <c r="E61" t="s">
        <v>80</v>
      </c>
      <c r="F61" t="s">
        <v>397</v>
      </c>
      <c r="G61">
        <v>3</v>
      </c>
      <c r="H61">
        <v>10</v>
      </c>
      <c r="I61" t="s">
        <v>985</v>
      </c>
      <c r="J61" t="s">
        <v>1028</v>
      </c>
      <c r="K61" t="s">
        <v>48</v>
      </c>
      <c r="M61" t="s">
        <v>398</v>
      </c>
      <c r="N61">
        <v>2873500</v>
      </c>
      <c r="O61" t="s">
        <v>82</v>
      </c>
      <c r="P61" t="s">
        <v>119</v>
      </c>
      <c r="Q61" t="s">
        <v>352</v>
      </c>
      <c r="R61" t="s">
        <v>129</v>
      </c>
      <c r="S61" t="s">
        <v>50</v>
      </c>
      <c r="T61">
        <v>2</v>
      </c>
      <c r="U61">
        <v>0</v>
      </c>
      <c r="V61">
        <v>2579400</v>
      </c>
      <c r="W61" t="s">
        <v>86</v>
      </c>
      <c r="X61" t="s">
        <v>399</v>
      </c>
      <c r="Y61" t="s">
        <v>88</v>
      </c>
      <c r="Z61" t="s">
        <v>89</v>
      </c>
      <c r="AA61">
        <v>1</v>
      </c>
      <c r="AB61">
        <v>0</v>
      </c>
      <c r="AC61">
        <v>2964000</v>
      </c>
      <c r="AD61" t="s">
        <v>90</v>
      </c>
      <c r="AE61">
        <v>4</v>
      </c>
      <c r="AF61">
        <v>0</v>
      </c>
      <c r="AG61" t="s">
        <v>53</v>
      </c>
      <c r="AH61" t="s">
        <v>72</v>
      </c>
      <c r="AI61" t="s">
        <v>73</v>
      </c>
      <c r="AJ61" t="s">
        <v>74</v>
      </c>
      <c r="AK61" t="s">
        <v>56</v>
      </c>
      <c r="AL61">
        <v>2</v>
      </c>
      <c r="AM61">
        <v>0</v>
      </c>
      <c r="AN61" t="s">
        <v>50</v>
      </c>
      <c r="AO61" s="4" t="s">
        <v>129</v>
      </c>
      <c r="AP61" t="s">
        <v>82</v>
      </c>
      <c r="AQ61" t="s">
        <v>57</v>
      </c>
      <c r="AR61" t="s">
        <v>352</v>
      </c>
      <c r="AS61">
        <v>2873500</v>
      </c>
      <c r="AT61" t="s">
        <v>83</v>
      </c>
      <c r="AU61">
        <v>2</v>
      </c>
    </row>
    <row r="62" spans="1:47" x14ac:dyDescent="0.3">
      <c r="A62" t="s">
        <v>400</v>
      </c>
      <c r="B62" t="s">
        <v>401</v>
      </c>
      <c r="C62" t="s">
        <v>78</v>
      </c>
      <c r="D62" t="s">
        <v>79</v>
      </c>
      <c r="E62" t="s">
        <v>80</v>
      </c>
      <c r="F62" t="s">
        <v>397</v>
      </c>
      <c r="G62">
        <v>3</v>
      </c>
      <c r="H62">
        <v>10</v>
      </c>
      <c r="I62" t="s">
        <v>985</v>
      </c>
      <c r="J62" t="s">
        <v>1029</v>
      </c>
      <c r="K62" t="s">
        <v>81</v>
      </c>
      <c r="M62" t="s">
        <v>398</v>
      </c>
      <c r="N62">
        <v>2873500</v>
      </c>
      <c r="O62" t="s">
        <v>82</v>
      </c>
      <c r="P62" t="s">
        <v>83</v>
      </c>
      <c r="Q62" t="s">
        <v>402</v>
      </c>
      <c r="R62" t="s">
        <v>106</v>
      </c>
      <c r="S62" t="s">
        <v>50</v>
      </c>
      <c r="T62">
        <v>2</v>
      </c>
      <c r="U62">
        <v>0</v>
      </c>
      <c r="V62">
        <v>2579400</v>
      </c>
      <c r="W62" t="s">
        <v>86</v>
      </c>
      <c r="X62" t="s">
        <v>403</v>
      </c>
      <c r="Y62" t="s">
        <v>88</v>
      </c>
      <c r="Z62" t="s">
        <v>89</v>
      </c>
      <c r="AA62">
        <v>1</v>
      </c>
      <c r="AB62">
        <v>0</v>
      </c>
      <c r="AC62">
        <v>2964000</v>
      </c>
      <c r="AD62" t="s">
        <v>90</v>
      </c>
      <c r="AE62">
        <v>4</v>
      </c>
      <c r="AF62">
        <v>0</v>
      </c>
      <c r="AG62" t="s">
        <v>53</v>
      </c>
      <c r="AH62" t="s">
        <v>72</v>
      </c>
      <c r="AI62" t="s">
        <v>73</v>
      </c>
      <c r="AJ62" t="s">
        <v>74</v>
      </c>
      <c r="AK62" t="s">
        <v>56</v>
      </c>
      <c r="AL62">
        <v>2</v>
      </c>
      <c r="AM62">
        <v>0</v>
      </c>
      <c r="AN62" t="s">
        <v>50</v>
      </c>
      <c r="AO62" s="4" t="s">
        <v>106</v>
      </c>
      <c r="AP62" t="s">
        <v>82</v>
      </c>
      <c r="AQ62" t="s">
        <v>57</v>
      </c>
      <c r="AR62" t="s">
        <v>402</v>
      </c>
      <c r="AS62">
        <v>2873500</v>
      </c>
      <c r="AT62" t="s">
        <v>83</v>
      </c>
      <c r="AU62">
        <v>2</v>
      </c>
    </row>
    <row r="63" spans="1:47" x14ac:dyDescent="0.3">
      <c r="A63" t="s">
        <v>404</v>
      </c>
      <c r="B63" t="s">
        <v>405</v>
      </c>
      <c r="C63" t="s">
        <v>78</v>
      </c>
      <c r="D63" t="s">
        <v>79</v>
      </c>
      <c r="E63" t="s">
        <v>80</v>
      </c>
      <c r="F63" t="s">
        <v>406</v>
      </c>
      <c r="G63">
        <v>3</v>
      </c>
      <c r="H63">
        <v>10</v>
      </c>
      <c r="I63" t="s">
        <v>985</v>
      </c>
      <c r="J63" t="s">
        <v>1030</v>
      </c>
      <c r="K63" t="s">
        <v>48</v>
      </c>
      <c r="M63" t="s">
        <v>407</v>
      </c>
      <c r="N63">
        <v>2873500</v>
      </c>
      <c r="O63" t="s">
        <v>82</v>
      </c>
      <c r="P63" t="s">
        <v>83</v>
      </c>
      <c r="Q63" t="s">
        <v>408</v>
      </c>
      <c r="R63" t="s">
        <v>106</v>
      </c>
      <c r="S63" t="s">
        <v>50</v>
      </c>
      <c r="T63">
        <v>2</v>
      </c>
      <c r="U63">
        <v>0</v>
      </c>
      <c r="V63">
        <v>2579400</v>
      </c>
      <c r="W63" t="s">
        <v>86</v>
      </c>
      <c r="X63" t="s">
        <v>409</v>
      </c>
      <c r="Y63" t="s">
        <v>88</v>
      </c>
      <c r="Z63" t="s">
        <v>89</v>
      </c>
      <c r="AA63">
        <v>1</v>
      </c>
      <c r="AB63">
        <v>0</v>
      </c>
      <c r="AC63">
        <v>2964000</v>
      </c>
      <c r="AD63" t="s">
        <v>90</v>
      </c>
      <c r="AE63">
        <v>4</v>
      </c>
      <c r="AF63">
        <v>0</v>
      </c>
      <c r="AG63" t="s">
        <v>53</v>
      </c>
      <c r="AH63" t="s">
        <v>72</v>
      </c>
      <c r="AI63" t="s">
        <v>73</v>
      </c>
      <c r="AJ63" t="s">
        <v>74</v>
      </c>
      <c r="AK63" t="s">
        <v>56</v>
      </c>
      <c r="AL63">
        <v>2</v>
      </c>
      <c r="AM63">
        <v>0</v>
      </c>
      <c r="AN63" t="s">
        <v>50</v>
      </c>
      <c r="AO63" s="4" t="s">
        <v>106</v>
      </c>
      <c r="AP63" t="s">
        <v>82</v>
      </c>
      <c r="AQ63" t="s">
        <v>57</v>
      </c>
      <c r="AR63" t="s">
        <v>408</v>
      </c>
      <c r="AS63">
        <v>2873500</v>
      </c>
      <c r="AT63" t="s">
        <v>83</v>
      </c>
      <c r="AU63">
        <v>2</v>
      </c>
    </row>
    <row r="64" spans="1:47" x14ac:dyDescent="0.3">
      <c r="A64" t="s">
        <v>410</v>
      </c>
      <c r="B64" t="s">
        <v>411</v>
      </c>
      <c r="C64" t="s">
        <v>412</v>
      </c>
      <c r="D64" t="s">
        <v>413</v>
      </c>
      <c r="E64" t="s">
        <v>62</v>
      </c>
      <c r="F64" t="s">
        <v>414</v>
      </c>
      <c r="G64">
        <v>17</v>
      </c>
      <c r="H64">
        <v>10</v>
      </c>
      <c r="I64" t="s">
        <v>985</v>
      </c>
      <c r="J64" t="s">
        <v>1031</v>
      </c>
      <c r="K64" t="s">
        <v>48</v>
      </c>
      <c r="M64" t="s">
        <v>415</v>
      </c>
      <c r="N64">
        <v>4042500</v>
      </c>
      <c r="O64" t="s">
        <v>416</v>
      </c>
      <c r="P64" t="s">
        <v>83</v>
      </c>
      <c r="Q64" t="s">
        <v>417</v>
      </c>
      <c r="R64" t="s">
        <v>190</v>
      </c>
      <c r="S64" t="s">
        <v>50</v>
      </c>
      <c r="T64">
        <v>16</v>
      </c>
      <c r="U64">
        <v>0</v>
      </c>
      <c r="V64">
        <v>3518100</v>
      </c>
      <c r="W64" t="s">
        <v>418</v>
      </c>
      <c r="X64" t="s">
        <v>419</v>
      </c>
      <c r="Y64" t="s">
        <v>420</v>
      </c>
      <c r="Z64" t="s">
        <v>421</v>
      </c>
      <c r="AA64">
        <v>12</v>
      </c>
      <c r="AB64">
        <v>1</v>
      </c>
      <c r="AC64">
        <v>4169900</v>
      </c>
      <c r="AD64" t="s">
        <v>422</v>
      </c>
      <c r="AE64">
        <v>18</v>
      </c>
      <c r="AF64">
        <v>0</v>
      </c>
      <c r="AG64" t="s">
        <v>53</v>
      </c>
      <c r="AH64" t="s">
        <v>72</v>
      </c>
      <c r="AI64" t="s">
        <v>73</v>
      </c>
      <c r="AJ64" t="s">
        <v>74</v>
      </c>
      <c r="AK64" t="s">
        <v>56</v>
      </c>
      <c r="AL64">
        <v>16</v>
      </c>
      <c r="AM64">
        <v>0</v>
      </c>
      <c r="AN64" t="s">
        <v>50</v>
      </c>
      <c r="AO64" s="4" t="s">
        <v>190</v>
      </c>
      <c r="AP64" t="s">
        <v>416</v>
      </c>
      <c r="AQ64" t="s">
        <v>57</v>
      </c>
      <c r="AR64" t="s">
        <v>417</v>
      </c>
      <c r="AS64">
        <v>4042500</v>
      </c>
      <c r="AT64" t="s">
        <v>83</v>
      </c>
      <c r="AU64">
        <v>2</v>
      </c>
    </row>
    <row r="65" spans="1:50" x14ac:dyDescent="0.3">
      <c r="A65" t="s">
        <v>423</v>
      </c>
      <c r="B65" t="s">
        <v>424</v>
      </c>
      <c r="C65" t="s">
        <v>78</v>
      </c>
      <c r="D65" t="s">
        <v>79</v>
      </c>
      <c r="E65" t="s">
        <v>80</v>
      </c>
      <c r="F65" t="s">
        <v>414</v>
      </c>
      <c r="G65">
        <v>3</v>
      </c>
      <c r="H65">
        <v>10</v>
      </c>
      <c r="I65" t="s">
        <v>985</v>
      </c>
      <c r="J65" t="s">
        <v>1032</v>
      </c>
      <c r="K65" t="s">
        <v>48</v>
      </c>
      <c r="M65" t="s">
        <v>415</v>
      </c>
      <c r="N65">
        <v>2873500</v>
      </c>
      <c r="O65" t="s">
        <v>82</v>
      </c>
      <c r="P65" t="s">
        <v>83</v>
      </c>
      <c r="Q65" t="s">
        <v>425</v>
      </c>
      <c r="R65" t="s">
        <v>129</v>
      </c>
      <c r="S65" t="s">
        <v>50</v>
      </c>
      <c r="T65">
        <v>2</v>
      </c>
      <c r="U65">
        <v>0</v>
      </c>
      <c r="V65">
        <v>2579400</v>
      </c>
      <c r="W65" t="s">
        <v>86</v>
      </c>
      <c r="X65" t="s">
        <v>426</v>
      </c>
      <c r="Y65" t="s">
        <v>88</v>
      </c>
      <c r="Z65" t="s">
        <v>89</v>
      </c>
      <c r="AA65">
        <v>1</v>
      </c>
      <c r="AB65">
        <v>0</v>
      </c>
      <c r="AC65">
        <v>2964000</v>
      </c>
      <c r="AD65" t="s">
        <v>90</v>
      </c>
      <c r="AE65">
        <v>4</v>
      </c>
      <c r="AF65">
        <v>0</v>
      </c>
      <c r="AG65" t="s">
        <v>53</v>
      </c>
      <c r="AH65" t="s">
        <v>72</v>
      </c>
      <c r="AI65" t="s">
        <v>73</v>
      </c>
      <c r="AJ65" t="s">
        <v>74</v>
      </c>
      <c r="AK65" t="s">
        <v>56</v>
      </c>
      <c r="AL65">
        <v>2</v>
      </c>
      <c r="AM65">
        <v>0</v>
      </c>
      <c r="AN65" t="s">
        <v>50</v>
      </c>
      <c r="AO65" s="4" t="s">
        <v>129</v>
      </c>
      <c r="AP65" t="s">
        <v>82</v>
      </c>
      <c r="AQ65" t="s">
        <v>57</v>
      </c>
      <c r="AR65" t="s">
        <v>425</v>
      </c>
      <c r="AS65">
        <v>2873500</v>
      </c>
      <c r="AT65" t="s">
        <v>83</v>
      </c>
      <c r="AU65">
        <v>2</v>
      </c>
    </row>
    <row r="66" spans="1:50" x14ac:dyDescent="0.3">
      <c r="A66" t="s">
        <v>427</v>
      </c>
      <c r="B66" t="s">
        <v>428</v>
      </c>
      <c r="C66" t="s">
        <v>78</v>
      </c>
      <c r="D66" t="s">
        <v>79</v>
      </c>
      <c r="E66" t="s">
        <v>80</v>
      </c>
      <c r="F66" t="s">
        <v>414</v>
      </c>
      <c r="G66">
        <v>3</v>
      </c>
      <c r="H66">
        <v>10</v>
      </c>
      <c r="I66" t="s">
        <v>985</v>
      </c>
      <c r="J66" t="s">
        <v>1033</v>
      </c>
      <c r="K66" t="s">
        <v>81</v>
      </c>
      <c r="M66" t="s">
        <v>415</v>
      </c>
      <c r="N66">
        <v>2873500</v>
      </c>
      <c r="O66" t="s">
        <v>82</v>
      </c>
      <c r="P66" t="s">
        <v>83</v>
      </c>
      <c r="Q66" t="s">
        <v>429</v>
      </c>
      <c r="R66" t="s">
        <v>190</v>
      </c>
      <c r="S66" t="s">
        <v>50</v>
      </c>
      <c r="T66">
        <v>2</v>
      </c>
      <c r="U66">
        <v>0</v>
      </c>
      <c r="V66">
        <v>2579400</v>
      </c>
      <c r="W66" t="s">
        <v>86</v>
      </c>
      <c r="X66" t="s">
        <v>430</v>
      </c>
      <c r="Y66" t="s">
        <v>88</v>
      </c>
      <c r="Z66" t="s">
        <v>89</v>
      </c>
      <c r="AA66">
        <v>1</v>
      </c>
      <c r="AB66">
        <v>0</v>
      </c>
      <c r="AC66">
        <v>2964000</v>
      </c>
      <c r="AD66" t="s">
        <v>90</v>
      </c>
      <c r="AE66">
        <v>4</v>
      </c>
      <c r="AF66">
        <v>0</v>
      </c>
      <c r="AG66" t="s">
        <v>53</v>
      </c>
      <c r="AH66" t="s">
        <v>72</v>
      </c>
      <c r="AI66" t="s">
        <v>73</v>
      </c>
      <c r="AJ66" t="s">
        <v>74</v>
      </c>
      <c r="AK66" t="s">
        <v>56</v>
      </c>
      <c r="AL66">
        <v>2</v>
      </c>
      <c r="AM66">
        <v>0</v>
      </c>
      <c r="AN66" t="s">
        <v>50</v>
      </c>
      <c r="AO66" s="4" t="s">
        <v>190</v>
      </c>
      <c r="AP66" t="s">
        <v>82</v>
      </c>
      <c r="AQ66" t="s">
        <v>57</v>
      </c>
      <c r="AR66" t="s">
        <v>429</v>
      </c>
      <c r="AS66">
        <v>2873500</v>
      </c>
      <c r="AT66" t="s">
        <v>83</v>
      </c>
      <c r="AU66">
        <v>2</v>
      </c>
    </row>
    <row r="67" spans="1:50" x14ac:dyDescent="0.3">
      <c r="A67" t="s">
        <v>431</v>
      </c>
      <c r="B67" t="s">
        <v>432</v>
      </c>
      <c r="C67" t="s">
        <v>60</v>
      </c>
      <c r="D67" t="s">
        <v>61</v>
      </c>
      <c r="E67" t="s">
        <v>433</v>
      </c>
      <c r="F67" t="s">
        <v>434</v>
      </c>
      <c r="G67">
        <v>11</v>
      </c>
      <c r="H67">
        <v>10</v>
      </c>
      <c r="I67" t="s">
        <v>985</v>
      </c>
      <c r="J67" t="s">
        <v>1034</v>
      </c>
      <c r="K67" t="s">
        <v>48</v>
      </c>
      <c r="M67" t="s">
        <v>435</v>
      </c>
      <c r="N67">
        <v>3533900</v>
      </c>
      <c r="O67" t="s">
        <v>436</v>
      </c>
      <c r="P67" t="s">
        <v>83</v>
      </c>
      <c r="Q67" t="s">
        <v>437</v>
      </c>
      <c r="R67" t="s">
        <v>106</v>
      </c>
      <c r="S67" t="s">
        <v>50</v>
      </c>
      <c r="T67">
        <v>10</v>
      </c>
      <c r="U67">
        <v>0</v>
      </c>
      <c r="V67">
        <v>3172300</v>
      </c>
      <c r="W67" t="s">
        <v>438</v>
      </c>
      <c r="X67" t="s">
        <v>439</v>
      </c>
      <c r="Y67" t="s">
        <v>51</v>
      </c>
      <c r="Z67" t="s">
        <v>52</v>
      </c>
      <c r="AA67">
        <v>8</v>
      </c>
      <c r="AB67">
        <v>1</v>
      </c>
      <c r="AC67">
        <v>3645200</v>
      </c>
      <c r="AD67" t="s">
        <v>440</v>
      </c>
      <c r="AE67">
        <v>12</v>
      </c>
      <c r="AF67">
        <v>0</v>
      </c>
      <c r="AG67" t="s">
        <v>53</v>
      </c>
      <c r="AH67" t="s">
        <v>72</v>
      </c>
      <c r="AI67" t="s">
        <v>73</v>
      </c>
      <c r="AJ67" t="s">
        <v>74</v>
      </c>
      <c r="AK67" t="s">
        <v>56</v>
      </c>
      <c r="AL67">
        <v>10</v>
      </c>
      <c r="AM67">
        <v>0</v>
      </c>
      <c r="AN67" t="s">
        <v>50</v>
      </c>
      <c r="AO67" s="4" t="s">
        <v>106</v>
      </c>
      <c r="AP67" t="s">
        <v>436</v>
      </c>
      <c r="AQ67" t="s">
        <v>57</v>
      </c>
      <c r="AR67" t="s">
        <v>437</v>
      </c>
      <c r="AS67">
        <v>3533900</v>
      </c>
      <c r="AT67" t="s">
        <v>83</v>
      </c>
      <c r="AU67">
        <v>2</v>
      </c>
    </row>
    <row r="68" spans="1:50" x14ac:dyDescent="0.3">
      <c r="A68" t="s">
        <v>441</v>
      </c>
      <c r="B68" t="s">
        <v>442</v>
      </c>
      <c r="C68" t="s">
        <v>78</v>
      </c>
      <c r="D68" t="s">
        <v>79</v>
      </c>
      <c r="E68" t="s">
        <v>384</v>
      </c>
      <c r="F68" t="s">
        <v>434</v>
      </c>
      <c r="G68">
        <v>3</v>
      </c>
      <c r="H68">
        <v>10</v>
      </c>
      <c r="I68" t="s">
        <v>985</v>
      </c>
      <c r="J68" t="s">
        <v>1035</v>
      </c>
      <c r="K68" t="s">
        <v>81</v>
      </c>
      <c r="M68" t="s">
        <v>435</v>
      </c>
      <c r="N68">
        <v>2873500</v>
      </c>
      <c r="O68" t="s">
        <v>82</v>
      </c>
      <c r="P68" t="s">
        <v>83</v>
      </c>
      <c r="Q68" t="s">
        <v>443</v>
      </c>
      <c r="R68" t="s">
        <v>106</v>
      </c>
      <c r="S68" t="s">
        <v>50</v>
      </c>
      <c r="T68">
        <v>2</v>
      </c>
      <c r="U68">
        <v>0</v>
      </c>
      <c r="V68">
        <v>2579400</v>
      </c>
      <c r="W68" t="s">
        <v>86</v>
      </c>
      <c r="X68" t="s">
        <v>444</v>
      </c>
      <c r="Y68" t="s">
        <v>88</v>
      </c>
      <c r="Z68" t="s">
        <v>89</v>
      </c>
      <c r="AA68">
        <v>1</v>
      </c>
      <c r="AB68">
        <v>0</v>
      </c>
      <c r="AC68">
        <v>2964000</v>
      </c>
      <c r="AD68" t="s">
        <v>90</v>
      </c>
      <c r="AE68">
        <v>4</v>
      </c>
      <c r="AF68">
        <v>0</v>
      </c>
      <c r="AG68" t="s">
        <v>53</v>
      </c>
      <c r="AH68" t="s">
        <v>72</v>
      </c>
      <c r="AI68" t="s">
        <v>73</v>
      </c>
      <c r="AJ68" t="s">
        <v>74</v>
      </c>
      <c r="AK68" t="s">
        <v>56</v>
      </c>
      <c r="AL68">
        <v>2</v>
      </c>
      <c r="AM68">
        <v>0</v>
      </c>
      <c r="AN68" t="s">
        <v>50</v>
      </c>
      <c r="AO68" s="4" t="s">
        <v>106</v>
      </c>
      <c r="AP68" t="s">
        <v>82</v>
      </c>
      <c r="AQ68" t="s">
        <v>57</v>
      </c>
      <c r="AR68" t="s">
        <v>443</v>
      </c>
      <c r="AS68">
        <v>2873500</v>
      </c>
      <c r="AT68" t="s">
        <v>83</v>
      </c>
      <c r="AU68">
        <v>2</v>
      </c>
    </row>
    <row r="69" spans="1:50" x14ac:dyDescent="0.3">
      <c r="A69" t="s">
        <v>445</v>
      </c>
      <c r="B69" t="s">
        <v>446</v>
      </c>
      <c r="C69" t="s">
        <v>78</v>
      </c>
      <c r="D69" t="s">
        <v>79</v>
      </c>
      <c r="E69" t="s">
        <v>227</v>
      </c>
      <c r="F69" t="s">
        <v>447</v>
      </c>
      <c r="G69">
        <v>3</v>
      </c>
      <c r="H69">
        <v>10</v>
      </c>
      <c r="I69" t="s">
        <v>985</v>
      </c>
      <c r="J69" t="s">
        <v>1036</v>
      </c>
      <c r="K69" t="s">
        <v>81</v>
      </c>
      <c r="M69" t="s">
        <v>448</v>
      </c>
      <c r="N69">
        <v>2873500</v>
      </c>
      <c r="O69" t="s">
        <v>82</v>
      </c>
      <c r="P69" t="s">
        <v>83</v>
      </c>
      <c r="Q69" t="s">
        <v>449</v>
      </c>
      <c r="R69" t="s">
        <v>106</v>
      </c>
      <c r="S69" t="s">
        <v>50</v>
      </c>
      <c r="T69">
        <v>2</v>
      </c>
      <c r="U69">
        <v>0</v>
      </c>
      <c r="V69">
        <v>2579400</v>
      </c>
      <c r="W69" t="s">
        <v>86</v>
      </c>
      <c r="X69" t="s">
        <v>450</v>
      </c>
      <c r="Y69" t="s">
        <v>88</v>
      </c>
      <c r="Z69" t="s">
        <v>89</v>
      </c>
      <c r="AA69">
        <v>1</v>
      </c>
      <c r="AB69">
        <v>0</v>
      </c>
      <c r="AC69">
        <v>2964000</v>
      </c>
      <c r="AD69" t="s">
        <v>90</v>
      </c>
      <c r="AE69">
        <v>4</v>
      </c>
      <c r="AF69">
        <v>0</v>
      </c>
      <c r="AG69" t="s">
        <v>53</v>
      </c>
      <c r="AH69" t="s">
        <v>72</v>
      </c>
      <c r="AI69" t="s">
        <v>73</v>
      </c>
      <c r="AJ69" t="s">
        <v>74</v>
      </c>
      <c r="AK69" t="s">
        <v>56</v>
      </c>
      <c r="AL69">
        <v>2</v>
      </c>
      <c r="AM69">
        <v>0</v>
      </c>
      <c r="AN69" t="s">
        <v>50</v>
      </c>
      <c r="AO69" s="4" t="s">
        <v>106</v>
      </c>
      <c r="AP69" t="s">
        <v>82</v>
      </c>
      <c r="AQ69" t="s">
        <v>57</v>
      </c>
      <c r="AR69" t="s">
        <v>449</v>
      </c>
      <c r="AS69">
        <v>2873500</v>
      </c>
      <c r="AT69" t="s">
        <v>83</v>
      </c>
      <c r="AU69">
        <v>2</v>
      </c>
    </row>
    <row r="70" spans="1:50" x14ac:dyDescent="0.3">
      <c r="A70" t="s">
        <v>451</v>
      </c>
      <c r="B70" t="s">
        <v>452</v>
      </c>
      <c r="C70" t="s">
        <v>78</v>
      </c>
      <c r="D70" t="s">
        <v>79</v>
      </c>
      <c r="E70" t="s">
        <v>80</v>
      </c>
      <c r="F70" t="s">
        <v>453</v>
      </c>
      <c r="G70">
        <v>3</v>
      </c>
      <c r="H70">
        <v>10</v>
      </c>
      <c r="I70" t="s">
        <v>985</v>
      </c>
      <c r="J70" t="s">
        <v>1037</v>
      </c>
      <c r="K70" t="s">
        <v>48</v>
      </c>
      <c r="M70" t="s">
        <v>454</v>
      </c>
      <c r="N70">
        <v>2579400</v>
      </c>
      <c r="O70" t="s">
        <v>86</v>
      </c>
      <c r="P70" t="s">
        <v>94</v>
      </c>
      <c r="Q70" t="s">
        <v>455</v>
      </c>
      <c r="S70" t="s">
        <v>89</v>
      </c>
      <c r="T70">
        <v>1</v>
      </c>
      <c r="U70">
        <v>0</v>
      </c>
      <c r="V70">
        <v>2579400</v>
      </c>
      <c r="W70" t="s">
        <v>86</v>
      </c>
      <c r="X70" t="s">
        <v>455</v>
      </c>
      <c r="Y70" t="s">
        <v>88</v>
      </c>
      <c r="Z70" t="s">
        <v>89</v>
      </c>
      <c r="AA70">
        <v>1</v>
      </c>
      <c r="AB70">
        <v>0</v>
      </c>
      <c r="AC70">
        <v>2964000</v>
      </c>
      <c r="AD70" t="s">
        <v>90</v>
      </c>
      <c r="AE70">
        <v>4</v>
      </c>
      <c r="AF70">
        <v>0</v>
      </c>
      <c r="AG70" t="s">
        <v>53</v>
      </c>
      <c r="AH70" t="s">
        <v>72</v>
      </c>
      <c r="AI70" t="s">
        <v>73</v>
      </c>
      <c r="AJ70" t="s">
        <v>74</v>
      </c>
      <c r="AK70" t="s">
        <v>56</v>
      </c>
      <c r="AL70">
        <v>1</v>
      </c>
      <c r="AM70">
        <v>0</v>
      </c>
      <c r="AN70" t="s">
        <v>89</v>
      </c>
      <c r="AO70" s="5" t="s">
        <v>88</v>
      </c>
      <c r="AP70" t="s">
        <v>86</v>
      </c>
      <c r="AQ70" t="s">
        <v>96</v>
      </c>
      <c r="AR70" t="s">
        <v>455</v>
      </c>
      <c r="AS70">
        <v>2579400</v>
      </c>
      <c r="AT70" t="s">
        <v>959</v>
      </c>
      <c r="AU70">
        <v>3</v>
      </c>
    </row>
    <row r="71" spans="1:50" x14ac:dyDescent="0.3">
      <c r="A71" t="s">
        <v>456</v>
      </c>
      <c r="B71" t="s">
        <v>457</v>
      </c>
      <c r="C71" t="s">
        <v>78</v>
      </c>
      <c r="D71" t="s">
        <v>79</v>
      </c>
      <c r="E71" t="s">
        <v>80</v>
      </c>
      <c r="F71" t="s">
        <v>458</v>
      </c>
      <c r="G71">
        <v>3</v>
      </c>
      <c r="H71">
        <v>10</v>
      </c>
      <c r="I71" t="s">
        <v>985</v>
      </c>
      <c r="J71" t="s">
        <v>1038</v>
      </c>
      <c r="K71" t="s">
        <v>48</v>
      </c>
      <c r="M71" t="s">
        <v>459</v>
      </c>
      <c r="N71">
        <v>2873500</v>
      </c>
      <c r="O71" t="s">
        <v>82</v>
      </c>
      <c r="P71" t="s">
        <v>83</v>
      </c>
      <c r="Q71" t="s">
        <v>460</v>
      </c>
      <c r="R71" t="s">
        <v>106</v>
      </c>
      <c r="S71" t="s">
        <v>50</v>
      </c>
      <c r="T71">
        <v>2</v>
      </c>
      <c r="U71">
        <v>0</v>
      </c>
      <c r="V71">
        <v>2579400</v>
      </c>
      <c r="W71" t="s">
        <v>86</v>
      </c>
      <c r="X71" t="s">
        <v>461</v>
      </c>
      <c r="Y71" t="s">
        <v>88</v>
      </c>
      <c r="Z71" t="s">
        <v>89</v>
      </c>
      <c r="AA71">
        <v>1</v>
      </c>
      <c r="AB71">
        <v>0</v>
      </c>
      <c r="AC71">
        <v>2964000</v>
      </c>
      <c r="AD71" t="s">
        <v>90</v>
      </c>
      <c r="AE71">
        <v>4</v>
      </c>
      <c r="AF71">
        <v>0</v>
      </c>
      <c r="AG71" t="s">
        <v>53</v>
      </c>
      <c r="AH71" t="s">
        <v>72</v>
      </c>
      <c r="AI71" t="s">
        <v>73</v>
      </c>
      <c r="AJ71" t="s">
        <v>74</v>
      </c>
      <c r="AK71" t="s">
        <v>56</v>
      </c>
      <c r="AL71">
        <v>2</v>
      </c>
      <c r="AM71">
        <v>0</v>
      </c>
      <c r="AN71" t="s">
        <v>50</v>
      </c>
      <c r="AO71" s="4" t="s">
        <v>106</v>
      </c>
      <c r="AP71" t="s">
        <v>82</v>
      </c>
      <c r="AQ71" t="s">
        <v>57</v>
      </c>
      <c r="AR71" t="s">
        <v>460</v>
      </c>
      <c r="AS71">
        <v>2873500</v>
      </c>
      <c r="AT71" t="s">
        <v>83</v>
      </c>
      <c r="AU71">
        <v>2</v>
      </c>
    </row>
    <row r="72" spans="1:50" x14ac:dyDescent="0.3">
      <c r="A72" t="s">
        <v>462</v>
      </c>
      <c r="B72" t="s">
        <v>463</v>
      </c>
      <c r="C72" t="s">
        <v>78</v>
      </c>
      <c r="D72" t="s">
        <v>79</v>
      </c>
      <c r="E72" t="s">
        <v>384</v>
      </c>
      <c r="F72" t="s">
        <v>458</v>
      </c>
      <c r="G72">
        <v>3</v>
      </c>
      <c r="H72">
        <v>10</v>
      </c>
      <c r="I72" t="s">
        <v>985</v>
      </c>
      <c r="J72" t="s">
        <v>1039</v>
      </c>
      <c r="K72" t="s">
        <v>48</v>
      </c>
      <c r="M72" t="s">
        <v>459</v>
      </c>
      <c r="N72">
        <v>2873500</v>
      </c>
      <c r="O72" t="s">
        <v>82</v>
      </c>
      <c r="P72" t="s">
        <v>72</v>
      </c>
      <c r="Q72" t="s">
        <v>464</v>
      </c>
      <c r="R72" t="s">
        <v>465</v>
      </c>
      <c r="S72" t="s">
        <v>466</v>
      </c>
      <c r="T72">
        <v>3</v>
      </c>
      <c r="U72">
        <v>7</v>
      </c>
      <c r="V72">
        <v>2579400</v>
      </c>
      <c r="W72" t="s">
        <v>86</v>
      </c>
      <c r="X72" t="s">
        <v>467</v>
      </c>
      <c r="Y72" t="s">
        <v>88</v>
      </c>
      <c r="Z72" t="s">
        <v>89</v>
      </c>
      <c r="AA72">
        <v>1</v>
      </c>
      <c r="AB72">
        <v>0</v>
      </c>
      <c r="AC72">
        <v>2964000</v>
      </c>
      <c r="AD72" t="s">
        <v>90</v>
      </c>
      <c r="AE72">
        <v>4</v>
      </c>
      <c r="AF72">
        <v>0</v>
      </c>
      <c r="AG72" t="s">
        <v>53</v>
      </c>
      <c r="AH72" t="s">
        <v>72</v>
      </c>
      <c r="AI72" t="s">
        <v>73</v>
      </c>
      <c r="AJ72" t="s">
        <v>74</v>
      </c>
      <c r="AK72" t="s">
        <v>56</v>
      </c>
      <c r="AL72">
        <v>3</v>
      </c>
      <c r="AM72">
        <v>7</v>
      </c>
      <c r="AN72" t="s">
        <v>466</v>
      </c>
      <c r="AO72" s="4" t="s">
        <v>465</v>
      </c>
      <c r="AP72" t="s">
        <v>82</v>
      </c>
      <c r="AQ72" t="s">
        <v>468</v>
      </c>
      <c r="AR72" t="s">
        <v>464</v>
      </c>
      <c r="AS72">
        <v>2873500</v>
      </c>
      <c r="AT72" t="s">
        <v>72</v>
      </c>
      <c r="AU72">
        <v>1</v>
      </c>
    </row>
    <row r="73" spans="1:50" x14ac:dyDescent="0.3">
      <c r="A73" t="s">
        <v>469</v>
      </c>
      <c r="B73" t="s">
        <v>470</v>
      </c>
      <c r="C73" t="s">
        <v>78</v>
      </c>
      <c r="D73" t="s">
        <v>79</v>
      </c>
      <c r="E73" t="s">
        <v>80</v>
      </c>
      <c r="F73" t="s">
        <v>458</v>
      </c>
      <c r="G73">
        <v>3</v>
      </c>
      <c r="H73">
        <v>10</v>
      </c>
      <c r="I73" t="s">
        <v>985</v>
      </c>
      <c r="J73" t="s">
        <v>1040</v>
      </c>
      <c r="K73" t="s">
        <v>48</v>
      </c>
      <c r="M73" t="s">
        <v>459</v>
      </c>
      <c r="N73">
        <v>3821000</v>
      </c>
      <c r="O73" t="s">
        <v>471</v>
      </c>
      <c r="P73" t="s">
        <v>472</v>
      </c>
      <c r="Q73" t="s">
        <v>473</v>
      </c>
      <c r="R73" t="s">
        <v>106</v>
      </c>
      <c r="S73" t="s">
        <v>50</v>
      </c>
      <c r="T73">
        <v>2</v>
      </c>
      <c r="U73">
        <v>0</v>
      </c>
      <c r="V73">
        <v>2579400</v>
      </c>
      <c r="W73" t="s">
        <v>86</v>
      </c>
      <c r="X73" t="s">
        <v>474</v>
      </c>
      <c r="Y73" t="s">
        <v>88</v>
      </c>
      <c r="Z73" t="s">
        <v>89</v>
      </c>
      <c r="AA73">
        <v>1</v>
      </c>
      <c r="AB73">
        <v>0</v>
      </c>
      <c r="AC73">
        <v>2964000</v>
      </c>
      <c r="AD73" t="s">
        <v>90</v>
      </c>
      <c r="AE73">
        <v>4</v>
      </c>
      <c r="AF73">
        <v>0</v>
      </c>
      <c r="AG73" t="s">
        <v>53</v>
      </c>
      <c r="AH73" t="s">
        <v>72</v>
      </c>
      <c r="AI73" t="s">
        <v>73</v>
      </c>
      <c r="AJ73" t="s">
        <v>74</v>
      </c>
      <c r="AK73" t="s">
        <v>56</v>
      </c>
      <c r="AL73">
        <v>2</v>
      </c>
      <c r="AM73">
        <v>0</v>
      </c>
      <c r="AN73" t="s">
        <v>50</v>
      </c>
      <c r="AO73" s="4" t="s">
        <v>106</v>
      </c>
      <c r="AP73" t="s">
        <v>471</v>
      </c>
      <c r="AQ73" t="s">
        <v>57</v>
      </c>
      <c r="AR73" t="s">
        <v>473</v>
      </c>
      <c r="AS73">
        <v>3821000</v>
      </c>
      <c r="AT73" t="s">
        <v>83</v>
      </c>
      <c r="AU73">
        <v>2</v>
      </c>
      <c r="AX73" t="s">
        <v>960</v>
      </c>
    </row>
  </sheetData>
  <autoFilter ref="A1:AX73" xr:uid="{00000000-0001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ECD4-B3B9-4B73-9C18-558B57E7A647}">
  <dimension ref="A1:BA56"/>
  <sheetViews>
    <sheetView zoomScale="55" zoomScaleNormal="55" workbookViewId="0">
      <pane xSplit="2" ySplit="1" topLeftCell="G2" activePane="bottomRight" state="frozen"/>
      <selection pane="topRight" activeCell="B1" sqref="B1"/>
      <selection pane="bottomLeft" activeCell="A2" sqref="A2"/>
      <selection pane="bottomRight" activeCell="K2" sqref="K2"/>
    </sheetView>
  </sheetViews>
  <sheetFormatPr defaultRowHeight="14.4" x14ac:dyDescent="0.3"/>
  <cols>
    <col min="2" max="2" width="35.109375" customWidth="1"/>
    <col min="3" max="3" width="19.21875" customWidth="1"/>
    <col min="4" max="4" width="19.33203125" customWidth="1"/>
    <col min="5" max="5" width="8.88671875" customWidth="1"/>
    <col min="6" max="6" width="60.88671875" customWidth="1"/>
    <col min="7" max="7" width="85.88671875" bestFit="1" customWidth="1"/>
    <col min="8" max="8" width="16.77734375" customWidth="1"/>
    <col min="9" max="9" width="16.5546875" customWidth="1"/>
    <col min="10" max="10" width="12.44140625" customWidth="1"/>
    <col min="11" max="11" width="24.33203125" customWidth="1"/>
    <col min="12" max="12" width="9.21875" customWidth="1"/>
    <col min="13" max="13" width="31.33203125" customWidth="1"/>
    <col min="14" max="14" width="81.109375" customWidth="1"/>
    <col min="15" max="15" width="37.88671875" customWidth="1"/>
    <col min="16" max="16" width="67" customWidth="1"/>
    <col min="17" max="17" width="62.5546875" customWidth="1"/>
    <col min="18" max="18" width="40.6640625" customWidth="1"/>
    <col min="19" max="19" width="46.5546875" customWidth="1"/>
    <col min="20" max="20" width="52.6640625" customWidth="1"/>
    <col min="21" max="21" width="55.21875" customWidth="1"/>
    <col min="22" max="22" width="55.109375" customWidth="1"/>
    <col min="23" max="23" width="34.88671875" customWidth="1"/>
    <col min="24" max="24" width="67" customWidth="1"/>
    <col min="25" max="25" width="37.44140625" customWidth="1"/>
    <col min="26" max="26" width="43.33203125" customWidth="1"/>
    <col min="27" max="27" width="46.21875" customWidth="1"/>
    <col min="28" max="28" width="52" customWidth="1"/>
    <col min="29" max="29" width="51.77734375" customWidth="1"/>
    <col min="30" max="30" width="20.33203125" customWidth="1"/>
    <col min="31" max="31" width="68.77734375" customWidth="1"/>
    <col min="32" max="32" width="37.44140625" bestFit="1" customWidth="1"/>
    <col min="33" max="33" width="37.33203125" bestFit="1" customWidth="1"/>
    <col min="34" max="34" width="32.44140625" bestFit="1" customWidth="1"/>
    <col min="35" max="35" width="55.21875" bestFit="1" customWidth="1"/>
    <col min="36" max="36" width="52.6640625" bestFit="1" customWidth="1"/>
    <col min="37" max="37" width="50" bestFit="1" customWidth="1"/>
    <col min="38" max="38" width="16.6640625" bestFit="1" customWidth="1"/>
    <col min="39" max="39" width="50" bestFit="1" customWidth="1"/>
    <col min="40" max="40" width="49.77734375" bestFit="1" customWidth="1"/>
    <col min="41" max="41" width="45" bestFit="1" customWidth="1"/>
    <col min="42" max="42" width="41.33203125" style="4" bestFit="1" customWidth="1"/>
    <col min="43" max="43" width="67" bestFit="1" customWidth="1"/>
    <col min="44" max="44" width="34.6640625" bestFit="1" customWidth="1"/>
    <col min="45" max="45" width="35.44140625" bestFit="1" customWidth="1"/>
    <col min="46" max="46" width="32.6640625" bestFit="1" customWidth="1"/>
    <col min="47" max="47" width="57.33203125" bestFit="1" customWidth="1"/>
    <col min="48" max="48" width="58.6640625" bestFit="1" customWidth="1"/>
    <col min="49" max="49" width="23.33203125" style="3" bestFit="1" customWidth="1"/>
    <col min="53" max="53" width="8.88671875" style="9"/>
  </cols>
  <sheetData>
    <row r="1" spans="1:5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6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2" t="s">
        <v>961</v>
      </c>
    </row>
    <row r="2" spans="1:53" s="3" customFormat="1" x14ac:dyDescent="0.3">
      <c r="A2" s="3" t="str">
        <f>CONCATENATE(L2, " ", B2)</f>
        <v>Sdri. Dwike Adillah, S.T.</v>
      </c>
      <c r="B2" t="s">
        <v>166</v>
      </c>
      <c r="C2" t="s">
        <v>167</v>
      </c>
      <c r="D2" t="s">
        <v>78</v>
      </c>
      <c r="E2" t="s">
        <v>79</v>
      </c>
      <c r="F2" t="s">
        <v>80</v>
      </c>
      <c r="G2" t="s">
        <v>168</v>
      </c>
      <c r="H2">
        <v>3</v>
      </c>
      <c r="I2">
        <v>10</v>
      </c>
      <c r="J2" t="s">
        <v>985</v>
      </c>
      <c r="K2" t="s">
        <v>986</v>
      </c>
      <c r="L2" t="s">
        <v>81</v>
      </c>
      <c r="M2"/>
      <c r="N2" t="s">
        <v>169</v>
      </c>
      <c r="O2">
        <v>2873500</v>
      </c>
      <c r="P2" t="s">
        <v>82</v>
      </c>
      <c r="Q2" t="s">
        <v>119</v>
      </c>
      <c r="R2" t="s">
        <v>170</v>
      </c>
      <c r="S2" t="s">
        <v>171</v>
      </c>
      <c r="T2" t="s">
        <v>50</v>
      </c>
      <c r="U2">
        <v>2</v>
      </c>
      <c r="V2">
        <v>0</v>
      </c>
      <c r="W2">
        <v>2579400</v>
      </c>
      <c r="X2" t="s">
        <v>86</v>
      </c>
      <c r="Y2" t="s">
        <v>172</v>
      </c>
      <c r="Z2" t="s">
        <v>88</v>
      </c>
      <c r="AA2" t="s">
        <v>89</v>
      </c>
      <c r="AB2">
        <v>1</v>
      </c>
      <c r="AC2">
        <v>0</v>
      </c>
      <c r="AD2">
        <v>2964000</v>
      </c>
      <c r="AE2" t="s">
        <v>90</v>
      </c>
      <c r="AF2">
        <v>4</v>
      </c>
      <c r="AG2">
        <v>0</v>
      </c>
      <c r="AH2" t="s">
        <v>53</v>
      </c>
      <c r="AI2" t="s">
        <v>72</v>
      </c>
      <c r="AJ2" t="s">
        <v>73</v>
      </c>
      <c r="AK2" t="s">
        <v>74</v>
      </c>
      <c r="AL2" t="s">
        <v>56</v>
      </c>
      <c r="AM2">
        <v>2</v>
      </c>
      <c r="AN2">
        <v>0</v>
      </c>
      <c r="AO2" t="s">
        <v>50</v>
      </c>
      <c r="AP2" s="4" t="s">
        <v>171</v>
      </c>
      <c r="AQ2" t="s">
        <v>82</v>
      </c>
      <c r="AR2" t="s">
        <v>57</v>
      </c>
      <c r="AS2" t="s">
        <v>170</v>
      </c>
      <c r="AT2">
        <v>2873500</v>
      </c>
      <c r="AU2" t="s">
        <v>83</v>
      </c>
      <c r="AV2">
        <v>2</v>
      </c>
      <c r="AX2"/>
      <c r="AY2"/>
      <c r="BA2" s="10"/>
    </row>
    <row r="3" spans="1:53" s="3" customFormat="1" x14ac:dyDescent="0.3">
      <c r="A3" s="3" t="str">
        <f t="shared" ref="A3:A56" si="0">CONCATENATE(L3, " ", B3)</f>
        <v>Sdr. Fahmi Amri, S.T.</v>
      </c>
      <c r="B3" t="s">
        <v>173</v>
      </c>
      <c r="C3" t="s">
        <v>174</v>
      </c>
      <c r="D3" t="s">
        <v>78</v>
      </c>
      <c r="E3" t="s">
        <v>79</v>
      </c>
      <c r="F3" t="s">
        <v>80</v>
      </c>
      <c r="G3" t="s">
        <v>168</v>
      </c>
      <c r="H3">
        <v>3</v>
      </c>
      <c r="I3">
        <v>10</v>
      </c>
      <c r="J3" t="s">
        <v>985</v>
      </c>
      <c r="K3" t="s">
        <v>987</v>
      </c>
      <c r="L3" t="s">
        <v>48</v>
      </c>
      <c r="M3"/>
      <c r="N3" t="s">
        <v>169</v>
      </c>
      <c r="O3">
        <v>2873500</v>
      </c>
      <c r="P3" t="s">
        <v>82</v>
      </c>
      <c r="Q3" t="s">
        <v>119</v>
      </c>
      <c r="R3" t="s">
        <v>175</v>
      </c>
      <c r="S3" t="s">
        <v>171</v>
      </c>
      <c r="T3" t="s">
        <v>50</v>
      </c>
      <c r="U3">
        <v>2</v>
      </c>
      <c r="V3">
        <v>0</v>
      </c>
      <c r="W3">
        <v>2579400</v>
      </c>
      <c r="X3" t="s">
        <v>86</v>
      </c>
      <c r="Y3" t="s">
        <v>176</v>
      </c>
      <c r="Z3" t="s">
        <v>88</v>
      </c>
      <c r="AA3" t="s">
        <v>89</v>
      </c>
      <c r="AB3">
        <v>1</v>
      </c>
      <c r="AC3">
        <v>0</v>
      </c>
      <c r="AD3">
        <v>2964000</v>
      </c>
      <c r="AE3" t="s">
        <v>90</v>
      </c>
      <c r="AF3">
        <v>4</v>
      </c>
      <c r="AG3">
        <v>0</v>
      </c>
      <c r="AH3" t="s">
        <v>53</v>
      </c>
      <c r="AI3" t="s">
        <v>72</v>
      </c>
      <c r="AJ3" t="s">
        <v>73</v>
      </c>
      <c r="AK3" t="s">
        <v>74</v>
      </c>
      <c r="AL3" t="s">
        <v>56</v>
      </c>
      <c r="AM3">
        <v>2</v>
      </c>
      <c r="AN3">
        <v>0</v>
      </c>
      <c r="AO3" t="s">
        <v>50</v>
      </c>
      <c r="AP3" s="4" t="s">
        <v>171</v>
      </c>
      <c r="AQ3" t="s">
        <v>82</v>
      </c>
      <c r="AR3" t="s">
        <v>57</v>
      </c>
      <c r="AS3" t="s">
        <v>175</v>
      </c>
      <c r="AT3">
        <v>2873500</v>
      </c>
      <c r="AU3" t="s">
        <v>83</v>
      </c>
      <c r="AV3">
        <v>2</v>
      </c>
      <c r="AX3"/>
      <c r="AY3"/>
      <c r="BA3" s="10"/>
    </row>
    <row r="4" spans="1:53" s="3" customFormat="1" x14ac:dyDescent="0.3">
      <c r="A4" s="3" t="str">
        <f t="shared" si="0"/>
        <v>Sdr. Muhammad Iqbal, S.T.</v>
      </c>
      <c r="B4" t="s">
        <v>177</v>
      </c>
      <c r="C4" t="s">
        <v>178</v>
      </c>
      <c r="D4" t="s">
        <v>78</v>
      </c>
      <c r="E4" t="s">
        <v>79</v>
      </c>
      <c r="F4" t="s">
        <v>80</v>
      </c>
      <c r="G4" t="s">
        <v>168</v>
      </c>
      <c r="H4">
        <v>3</v>
      </c>
      <c r="I4">
        <v>10</v>
      </c>
      <c r="J4" t="s">
        <v>985</v>
      </c>
      <c r="K4" t="s">
        <v>988</v>
      </c>
      <c r="L4" t="s">
        <v>48</v>
      </c>
      <c r="M4"/>
      <c r="N4" t="s">
        <v>169</v>
      </c>
      <c r="O4">
        <v>2873500</v>
      </c>
      <c r="P4" t="s">
        <v>82</v>
      </c>
      <c r="Q4" t="s">
        <v>119</v>
      </c>
      <c r="R4" t="s">
        <v>179</v>
      </c>
      <c r="S4" t="s">
        <v>171</v>
      </c>
      <c r="T4" t="s">
        <v>50</v>
      </c>
      <c r="U4">
        <v>2</v>
      </c>
      <c r="V4">
        <v>0</v>
      </c>
      <c r="W4">
        <v>2579400</v>
      </c>
      <c r="X4" t="s">
        <v>86</v>
      </c>
      <c r="Y4" t="s">
        <v>180</v>
      </c>
      <c r="Z4" t="s">
        <v>88</v>
      </c>
      <c r="AA4" t="s">
        <v>89</v>
      </c>
      <c r="AB4">
        <v>1</v>
      </c>
      <c r="AC4">
        <v>0</v>
      </c>
      <c r="AD4">
        <v>2964000</v>
      </c>
      <c r="AE4" t="s">
        <v>90</v>
      </c>
      <c r="AF4">
        <v>4</v>
      </c>
      <c r="AG4">
        <v>0</v>
      </c>
      <c r="AH4" t="s">
        <v>53</v>
      </c>
      <c r="AI4" t="s">
        <v>72</v>
      </c>
      <c r="AJ4" t="s">
        <v>73</v>
      </c>
      <c r="AK4" t="s">
        <v>74</v>
      </c>
      <c r="AL4" t="s">
        <v>56</v>
      </c>
      <c r="AM4">
        <v>2</v>
      </c>
      <c r="AN4">
        <v>0</v>
      </c>
      <c r="AO4" t="s">
        <v>50</v>
      </c>
      <c r="AP4" s="4" t="s">
        <v>171</v>
      </c>
      <c r="AQ4" t="s">
        <v>82</v>
      </c>
      <c r="AR4" t="s">
        <v>57</v>
      </c>
      <c r="AS4" t="s">
        <v>179</v>
      </c>
      <c r="AT4">
        <v>2873500</v>
      </c>
      <c r="AU4" t="s">
        <v>83</v>
      </c>
      <c r="AV4">
        <v>2</v>
      </c>
      <c r="AX4"/>
      <c r="AY4"/>
      <c r="BA4" s="10"/>
    </row>
    <row r="5" spans="1:53" s="3" customFormat="1" x14ac:dyDescent="0.3">
      <c r="A5" s="3" t="str">
        <f t="shared" si="0"/>
        <v>Sdr. Teuku Fajriansyah, S.T.</v>
      </c>
      <c r="B5" t="s">
        <v>181</v>
      </c>
      <c r="C5" t="s">
        <v>182</v>
      </c>
      <c r="D5" t="s">
        <v>78</v>
      </c>
      <c r="E5" t="s">
        <v>79</v>
      </c>
      <c r="F5" t="s">
        <v>80</v>
      </c>
      <c r="G5" t="s">
        <v>168</v>
      </c>
      <c r="H5">
        <v>3</v>
      </c>
      <c r="I5">
        <v>10</v>
      </c>
      <c r="J5" t="s">
        <v>985</v>
      </c>
      <c r="K5" t="s">
        <v>989</v>
      </c>
      <c r="L5" t="s">
        <v>48</v>
      </c>
      <c r="M5"/>
      <c r="N5" t="s">
        <v>169</v>
      </c>
      <c r="O5">
        <v>2873500</v>
      </c>
      <c r="P5" t="s">
        <v>82</v>
      </c>
      <c r="Q5" t="s">
        <v>119</v>
      </c>
      <c r="R5" t="s">
        <v>183</v>
      </c>
      <c r="S5" t="s">
        <v>171</v>
      </c>
      <c r="T5" t="s">
        <v>50</v>
      </c>
      <c r="U5">
        <v>2</v>
      </c>
      <c r="V5">
        <v>0</v>
      </c>
      <c r="W5">
        <v>2579400</v>
      </c>
      <c r="X5" t="s">
        <v>86</v>
      </c>
      <c r="Y5" t="s">
        <v>184</v>
      </c>
      <c r="Z5" t="s">
        <v>88</v>
      </c>
      <c r="AA5" t="s">
        <v>89</v>
      </c>
      <c r="AB5">
        <v>1</v>
      </c>
      <c r="AC5">
        <v>0</v>
      </c>
      <c r="AD5">
        <v>2964000</v>
      </c>
      <c r="AE5" t="s">
        <v>90</v>
      </c>
      <c r="AF5">
        <v>4</v>
      </c>
      <c r="AG5">
        <v>0</v>
      </c>
      <c r="AH5" t="s">
        <v>53</v>
      </c>
      <c r="AI5" t="s">
        <v>72</v>
      </c>
      <c r="AJ5" t="s">
        <v>73</v>
      </c>
      <c r="AK5" t="s">
        <v>74</v>
      </c>
      <c r="AL5" t="s">
        <v>56</v>
      </c>
      <c r="AM5">
        <v>2</v>
      </c>
      <c r="AN5">
        <v>0</v>
      </c>
      <c r="AO5" t="s">
        <v>50</v>
      </c>
      <c r="AP5" s="4" t="s">
        <v>171</v>
      </c>
      <c r="AQ5" t="s">
        <v>82</v>
      </c>
      <c r="AR5" t="s">
        <v>57</v>
      </c>
      <c r="AS5" t="s">
        <v>183</v>
      </c>
      <c r="AT5">
        <v>2873500</v>
      </c>
      <c r="AU5" t="s">
        <v>83</v>
      </c>
      <c r="AV5">
        <v>2</v>
      </c>
      <c r="AX5"/>
      <c r="AY5"/>
      <c r="BA5" s="10"/>
    </row>
    <row r="6" spans="1:53" s="3" customFormat="1" x14ac:dyDescent="0.3">
      <c r="A6" s="3" t="str">
        <f t="shared" si="0"/>
        <v>Sdri. Geofanny Dominica Sihaloho, S.T.</v>
      </c>
      <c r="B6" t="s">
        <v>185</v>
      </c>
      <c r="C6" t="s">
        <v>186</v>
      </c>
      <c r="D6" t="s">
        <v>78</v>
      </c>
      <c r="E6" t="s">
        <v>79</v>
      </c>
      <c r="F6" t="s">
        <v>80</v>
      </c>
      <c r="G6" t="s">
        <v>187</v>
      </c>
      <c r="H6">
        <v>3</v>
      </c>
      <c r="I6">
        <v>10</v>
      </c>
      <c r="J6" t="s">
        <v>985</v>
      </c>
      <c r="K6" t="s">
        <v>990</v>
      </c>
      <c r="L6" t="s">
        <v>81</v>
      </c>
      <c r="M6"/>
      <c r="N6" t="s">
        <v>188</v>
      </c>
      <c r="O6">
        <v>2873500</v>
      </c>
      <c r="P6" t="s">
        <v>82</v>
      </c>
      <c r="Q6" t="s">
        <v>83</v>
      </c>
      <c r="R6" t="s">
        <v>189</v>
      </c>
      <c r="S6" t="s">
        <v>190</v>
      </c>
      <c r="T6" t="s">
        <v>50</v>
      </c>
      <c r="U6">
        <v>2</v>
      </c>
      <c r="V6">
        <v>0</v>
      </c>
      <c r="W6">
        <v>2579400</v>
      </c>
      <c r="X6" t="s">
        <v>86</v>
      </c>
      <c r="Y6" t="s">
        <v>191</v>
      </c>
      <c r="Z6" t="s">
        <v>88</v>
      </c>
      <c r="AA6" t="s">
        <v>89</v>
      </c>
      <c r="AB6">
        <v>1</v>
      </c>
      <c r="AC6">
        <v>0</v>
      </c>
      <c r="AD6">
        <v>2964000</v>
      </c>
      <c r="AE6" t="s">
        <v>90</v>
      </c>
      <c r="AF6">
        <v>4</v>
      </c>
      <c r="AG6">
        <v>0</v>
      </c>
      <c r="AH6" t="s">
        <v>53</v>
      </c>
      <c r="AI6" t="s">
        <v>72</v>
      </c>
      <c r="AJ6" t="s">
        <v>73</v>
      </c>
      <c r="AK6" t="s">
        <v>74</v>
      </c>
      <c r="AL6" t="s">
        <v>56</v>
      </c>
      <c r="AM6">
        <v>2</v>
      </c>
      <c r="AN6">
        <v>0</v>
      </c>
      <c r="AO6" t="s">
        <v>50</v>
      </c>
      <c r="AP6" s="4" t="s">
        <v>190</v>
      </c>
      <c r="AQ6" t="s">
        <v>82</v>
      </c>
      <c r="AR6" t="s">
        <v>57</v>
      </c>
      <c r="AS6" t="s">
        <v>189</v>
      </c>
      <c r="AT6">
        <v>2873500</v>
      </c>
      <c r="AU6" t="s">
        <v>83</v>
      </c>
      <c r="AV6">
        <v>2</v>
      </c>
      <c r="AX6"/>
      <c r="AY6"/>
      <c r="BA6" s="10"/>
    </row>
    <row r="7" spans="1:53" s="3" customFormat="1" x14ac:dyDescent="0.3">
      <c r="A7" s="3" t="str">
        <f t="shared" si="0"/>
        <v>Sdr. Havid Suryo Husodo, S.T.</v>
      </c>
      <c r="B7" t="s">
        <v>192</v>
      </c>
      <c r="C7" t="s">
        <v>193</v>
      </c>
      <c r="D7" t="s">
        <v>78</v>
      </c>
      <c r="E7" t="s">
        <v>79</v>
      </c>
      <c r="F7" t="s">
        <v>80</v>
      </c>
      <c r="G7" t="s">
        <v>187</v>
      </c>
      <c r="H7">
        <v>3</v>
      </c>
      <c r="I7">
        <v>10</v>
      </c>
      <c r="J7" t="s">
        <v>985</v>
      </c>
      <c r="K7" t="s">
        <v>991</v>
      </c>
      <c r="L7" t="s">
        <v>48</v>
      </c>
      <c r="M7"/>
      <c r="N7" t="s">
        <v>188</v>
      </c>
      <c r="O7">
        <v>2873500</v>
      </c>
      <c r="P7" t="s">
        <v>82</v>
      </c>
      <c r="Q7" t="s">
        <v>194</v>
      </c>
      <c r="R7" t="s">
        <v>195</v>
      </c>
      <c r="S7" t="s">
        <v>106</v>
      </c>
      <c r="T7" t="s">
        <v>50</v>
      </c>
      <c r="U7">
        <v>2</v>
      </c>
      <c r="V7">
        <v>0</v>
      </c>
      <c r="W7">
        <v>2579400</v>
      </c>
      <c r="X7" t="s">
        <v>86</v>
      </c>
      <c r="Y7" t="s">
        <v>196</v>
      </c>
      <c r="Z7" t="s">
        <v>88</v>
      </c>
      <c r="AA7" t="s">
        <v>89</v>
      </c>
      <c r="AB7">
        <v>1</v>
      </c>
      <c r="AC7">
        <v>0</v>
      </c>
      <c r="AD7">
        <v>2964000</v>
      </c>
      <c r="AE7" t="s">
        <v>90</v>
      </c>
      <c r="AF7">
        <v>4</v>
      </c>
      <c r="AG7">
        <v>0</v>
      </c>
      <c r="AH7" t="s">
        <v>53</v>
      </c>
      <c r="AI7" t="s">
        <v>72</v>
      </c>
      <c r="AJ7" t="s">
        <v>73</v>
      </c>
      <c r="AK7" t="s">
        <v>74</v>
      </c>
      <c r="AL7" t="s">
        <v>56</v>
      </c>
      <c r="AM7">
        <v>2</v>
      </c>
      <c r="AN7">
        <v>0</v>
      </c>
      <c r="AO7" t="s">
        <v>50</v>
      </c>
      <c r="AP7" s="4" t="s">
        <v>106</v>
      </c>
      <c r="AQ7" t="s">
        <v>82</v>
      </c>
      <c r="AR7" t="s">
        <v>57</v>
      </c>
      <c r="AS7" t="s">
        <v>195</v>
      </c>
      <c r="AT7">
        <v>2873500</v>
      </c>
      <c r="AU7" t="s">
        <v>83</v>
      </c>
      <c r="AV7">
        <v>2</v>
      </c>
      <c r="AX7"/>
      <c r="AY7"/>
      <c r="BA7" s="10"/>
    </row>
    <row r="8" spans="1:53" s="3" customFormat="1" x14ac:dyDescent="0.3">
      <c r="A8" s="3" t="str">
        <f t="shared" si="0"/>
        <v>Sdri. Lili Purwati, S.T.</v>
      </c>
      <c r="B8" t="s">
        <v>197</v>
      </c>
      <c r="C8" t="s">
        <v>198</v>
      </c>
      <c r="D8" t="s">
        <v>78</v>
      </c>
      <c r="E8" t="s">
        <v>79</v>
      </c>
      <c r="F8" t="s">
        <v>80</v>
      </c>
      <c r="G8" t="s">
        <v>187</v>
      </c>
      <c r="H8">
        <v>3</v>
      </c>
      <c r="I8">
        <v>10</v>
      </c>
      <c r="J8" t="s">
        <v>985</v>
      </c>
      <c r="K8" t="s">
        <v>992</v>
      </c>
      <c r="L8" t="s">
        <v>81</v>
      </c>
      <c r="M8"/>
      <c r="N8" t="s">
        <v>188</v>
      </c>
      <c r="O8">
        <v>2873500</v>
      </c>
      <c r="P8" t="s">
        <v>82</v>
      </c>
      <c r="Q8" t="s">
        <v>155</v>
      </c>
      <c r="R8" t="s">
        <v>199</v>
      </c>
      <c r="S8" t="s">
        <v>106</v>
      </c>
      <c r="T8" t="s">
        <v>50</v>
      </c>
      <c r="U8">
        <v>2</v>
      </c>
      <c r="V8">
        <v>0</v>
      </c>
      <c r="W8">
        <v>2579400</v>
      </c>
      <c r="X8" t="s">
        <v>86</v>
      </c>
      <c r="Y8" t="s">
        <v>200</v>
      </c>
      <c r="Z8" t="s">
        <v>88</v>
      </c>
      <c r="AA8" t="s">
        <v>89</v>
      </c>
      <c r="AB8">
        <v>1</v>
      </c>
      <c r="AC8">
        <v>0</v>
      </c>
      <c r="AD8">
        <v>2964000</v>
      </c>
      <c r="AE8" t="s">
        <v>90</v>
      </c>
      <c r="AF8">
        <v>4</v>
      </c>
      <c r="AG8">
        <v>0</v>
      </c>
      <c r="AH8" t="s">
        <v>53</v>
      </c>
      <c r="AI8" t="s">
        <v>72</v>
      </c>
      <c r="AJ8" t="s">
        <v>73</v>
      </c>
      <c r="AK8" t="s">
        <v>74</v>
      </c>
      <c r="AL8" t="s">
        <v>56</v>
      </c>
      <c r="AM8">
        <v>2</v>
      </c>
      <c r="AN8">
        <v>0</v>
      </c>
      <c r="AO8" t="s">
        <v>50</v>
      </c>
      <c r="AP8" s="4" t="s">
        <v>106</v>
      </c>
      <c r="AQ8" t="s">
        <v>82</v>
      </c>
      <c r="AR8" t="s">
        <v>57</v>
      </c>
      <c r="AS8" t="s">
        <v>199</v>
      </c>
      <c r="AT8">
        <v>2873500</v>
      </c>
      <c r="AU8" t="s">
        <v>83</v>
      </c>
      <c r="AV8">
        <v>2</v>
      </c>
      <c r="AX8"/>
      <c r="AY8"/>
      <c r="BA8" s="10"/>
    </row>
    <row r="9" spans="1:53" s="3" customFormat="1" x14ac:dyDescent="0.3">
      <c r="A9" s="3" t="str">
        <f t="shared" si="0"/>
        <v>Sdr. Rizky Deco Nugroho, S.T.</v>
      </c>
      <c r="B9" t="s">
        <v>201</v>
      </c>
      <c r="C9" t="s">
        <v>202</v>
      </c>
      <c r="D9" t="s">
        <v>78</v>
      </c>
      <c r="E9" t="s">
        <v>79</v>
      </c>
      <c r="F9" t="s">
        <v>80</v>
      </c>
      <c r="G9" t="s">
        <v>187</v>
      </c>
      <c r="H9">
        <v>3</v>
      </c>
      <c r="I9">
        <v>10</v>
      </c>
      <c r="J9" t="s">
        <v>985</v>
      </c>
      <c r="K9" t="s">
        <v>993</v>
      </c>
      <c r="L9" t="s">
        <v>48</v>
      </c>
      <c r="M9"/>
      <c r="N9" t="s">
        <v>188</v>
      </c>
      <c r="O9">
        <v>2873500</v>
      </c>
      <c r="P9" t="s">
        <v>82</v>
      </c>
      <c r="Q9" t="s">
        <v>155</v>
      </c>
      <c r="R9" t="s">
        <v>203</v>
      </c>
      <c r="S9" t="s">
        <v>106</v>
      </c>
      <c r="T9" t="s">
        <v>50</v>
      </c>
      <c r="U9">
        <v>2</v>
      </c>
      <c r="V9">
        <v>0</v>
      </c>
      <c r="W9">
        <v>2579400</v>
      </c>
      <c r="X9" t="s">
        <v>86</v>
      </c>
      <c r="Y9" t="s">
        <v>204</v>
      </c>
      <c r="Z9" t="s">
        <v>88</v>
      </c>
      <c r="AA9" t="s">
        <v>89</v>
      </c>
      <c r="AB9">
        <v>1</v>
      </c>
      <c r="AC9">
        <v>0</v>
      </c>
      <c r="AD9">
        <v>2964000</v>
      </c>
      <c r="AE9" t="s">
        <v>90</v>
      </c>
      <c r="AF9">
        <v>4</v>
      </c>
      <c r="AG9">
        <v>0</v>
      </c>
      <c r="AH9" t="s">
        <v>53</v>
      </c>
      <c r="AI9" t="s">
        <v>72</v>
      </c>
      <c r="AJ9" t="s">
        <v>73</v>
      </c>
      <c r="AK9" t="s">
        <v>74</v>
      </c>
      <c r="AL9" t="s">
        <v>56</v>
      </c>
      <c r="AM9">
        <v>2</v>
      </c>
      <c r="AN9">
        <v>0</v>
      </c>
      <c r="AO9" t="s">
        <v>50</v>
      </c>
      <c r="AP9" s="4" t="s">
        <v>106</v>
      </c>
      <c r="AQ9" t="s">
        <v>82</v>
      </c>
      <c r="AR9" t="s">
        <v>57</v>
      </c>
      <c r="AS9" t="s">
        <v>203</v>
      </c>
      <c r="AT9">
        <v>2873500</v>
      </c>
      <c r="AU9" t="s">
        <v>83</v>
      </c>
      <c r="AV9">
        <v>2</v>
      </c>
      <c r="AX9"/>
      <c r="AY9"/>
      <c r="BA9" s="10"/>
    </row>
    <row r="10" spans="1:53" s="3" customFormat="1" x14ac:dyDescent="0.3">
      <c r="A10" s="3" t="str">
        <f t="shared" si="0"/>
        <v>Sdr. Stenly Jonathan Sitorus, S.Tr.T</v>
      </c>
      <c r="B10" t="s">
        <v>205</v>
      </c>
      <c r="C10" t="s">
        <v>206</v>
      </c>
      <c r="D10" t="s">
        <v>78</v>
      </c>
      <c r="E10" t="s">
        <v>79</v>
      </c>
      <c r="F10" t="s">
        <v>80</v>
      </c>
      <c r="G10" t="s">
        <v>187</v>
      </c>
      <c r="H10">
        <v>3</v>
      </c>
      <c r="I10">
        <v>10</v>
      </c>
      <c r="J10" t="s">
        <v>985</v>
      </c>
      <c r="K10" t="s">
        <v>994</v>
      </c>
      <c r="L10" t="s">
        <v>48</v>
      </c>
      <c r="M10"/>
      <c r="N10" t="s">
        <v>188</v>
      </c>
      <c r="O10">
        <v>2873500</v>
      </c>
      <c r="P10" t="s">
        <v>82</v>
      </c>
      <c r="Q10" t="s">
        <v>155</v>
      </c>
      <c r="R10" t="s">
        <v>207</v>
      </c>
      <c r="S10" t="s">
        <v>106</v>
      </c>
      <c r="T10" t="s">
        <v>50</v>
      </c>
      <c r="U10">
        <v>2</v>
      </c>
      <c r="V10">
        <v>0</v>
      </c>
      <c r="W10">
        <v>2579400</v>
      </c>
      <c r="X10" t="s">
        <v>86</v>
      </c>
      <c r="Y10" t="s">
        <v>208</v>
      </c>
      <c r="Z10" t="s">
        <v>88</v>
      </c>
      <c r="AA10" t="s">
        <v>89</v>
      </c>
      <c r="AB10">
        <v>1</v>
      </c>
      <c r="AC10">
        <v>0</v>
      </c>
      <c r="AD10">
        <v>2964000</v>
      </c>
      <c r="AE10" t="s">
        <v>90</v>
      </c>
      <c r="AF10">
        <v>4</v>
      </c>
      <c r="AG10">
        <v>0</v>
      </c>
      <c r="AH10" t="s">
        <v>53</v>
      </c>
      <c r="AI10" t="s">
        <v>72</v>
      </c>
      <c r="AJ10" t="s">
        <v>73</v>
      </c>
      <c r="AK10" t="s">
        <v>74</v>
      </c>
      <c r="AL10" t="s">
        <v>56</v>
      </c>
      <c r="AM10">
        <v>2</v>
      </c>
      <c r="AN10">
        <v>0</v>
      </c>
      <c r="AO10" t="s">
        <v>50</v>
      </c>
      <c r="AP10" s="4" t="s">
        <v>106</v>
      </c>
      <c r="AQ10" t="s">
        <v>82</v>
      </c>
      <c r="AR10" t="s">
        <v>57</v>
      </c>
      <c r="AS10" t="s">
        <v>207</v>
      </c>
      <c r="AT10">
        <v>2873500</v>
      </c>
      <c r="AU10" t="s">
        <v>83</v>
      </c>
      <c r="AV10">
        <v>2</v>
      </c>
      <c r="AX10"/>
      <c r="AY10"/>
      <c r="BA10" s="10"/>
    </row>
    <row r="11" spans="1:53" s="3" customFormat="1" x14ac:dyDescent="0.3">
      <c r="A11" s="3" t="str">
        <f t="shared" si="0"/>
        <v>Sdr. Adi Rachmat Syahputra, S.T.</v>
      </c>
      <c r="B11" t="s">
        <v>209</v>
      </c>
      <c r="C11" t="s">
        <v>210</v>
      </c>
      <c r="D11" t="s">
        <v>78</v>
      </c>
      <c r="E11" t="s">
        <v>79</v>
      </c>
      <c r="F11" t="s">
        <v>80</v>
      </c>
      <c r="G11" t="s">
        <v>211</v>
      </c>
      <c r="H11">
        <v>3</v>
      </c>
      <c r="I11">
        <v>10</v>
      </c>
      <c r="J11" t="s">
        <v>985</v>
      </c>
      <c r="K11" t="s">
        <v>995</v>
      </c>
      <c r="L11" t="s">
        <v>48</v>
      </c>
      <c r="M11"/>
      <c r="N11" t="s">
        <v>212</v>
      </c>
      <c r="O11">
        <v>2873500</v>
      </c>
      <c r="P11" t="s">
        <v>82</v>
      </c>
      <c r="Q11" t="s">
        <v>155</v>
      </c>
      <c r="R11" t="s">
        <v>213</v>
      </c>
      <c r="S11" t="s">
        <v>106</v>
      </c>
      <c r="T11" t="s">
        <v>50</v>
      </c>
      <c r="U11">
        <v>0</v>
      </c>
      <c r="V11">
        <v>2</v>
      </c>
      <c r="W11">
        <v>2579400</v>
      </c>
      <c r="X11" t="s">
        <v>86</v>
      </c>
      <c r="Y11" t="s">
        <v>214</v>
      </c>
      <c r="Z11" t="s">
        <v>88</v>
      </c>
      <c r="AA11" t="s">
        <v>89</v>
      </c>
      <c r="AB11">
        <v>1</v>
      </c>
      <c r="AC11">
        <v>0</v>
      </c>
      <c r="AD11">
        <v>2964000</v>
      </c>
      <c r="AE11" t="s">
        <v>90</v>
      </c>
      <c r="AF11">
        <v>4</v>
      </c>
      <c r="AG11">
        <v>0</v>
      </c>
      <c r="AH11" t="s">
        <v>53</v>
      </c>
      <c r="AI11" t="s">
        <v>72</v>
      </c>
      <c r="AJ11" t="s">
        <v>73</v>
      </c>
      <c r="AK11" t="s">
        <v>74</v>
      </c>
      <c r="AL11" t="s">
        <v>56</v>
      </c>
      <c r="AM11">
        <v>2</v>
      </c>
      <c r="AN11">
        <v>0</v>
      </c>
      <c r="AO11" t="s">
        <v>50</v>
      </c>
      <c r="AP11" s="4" t="s">
        <v>106</v>
      </c>
      <c r="AQ11" t="s">
        <v>82</v>
      </c>
      <c r="AR11" t="s">
        <v>57</v>
      </c>
      <c r="AS11" t="s">
        <v>213</v>
      </c>
      <c r="AT11">
        <v>2873500</v>
      </c>
      <c r="AU11" t="s">
        <v>83</v>
      </c>
      <c r="AV11">
        <v>4</v>
      </c>
      <c r="AX11"/>
      <c r="AY11"/>
      <c r="BA11" s="10"/>
    </row>
    <row r="12" spans="1:53" s="3" customFormat="1" x14ac:dyDescent="0.3">
      <c r="A12" s="3" t="str">
        <f t="shared" si="0"/>
        <v>Sdr. Yendra Syafda, S.T.</v>
      </c>
      <c r="B12" t="s">
        <v>215</v>
      </c>
      <c r="C12" t="s">
        <v>216</v>
      </c>
      <c r="D12" t="s">
        <v>78</v>
      </c>
      <c r="E12" t="s">
        <v>79</v>
      </c>
      <c r="F12" t="s">
        <v>80</v>
      </c>
      <c r="G12" t="s">
        <v>211</v>
      </c>
      <c r="H12">
        <v>3</v>
      </c>
      <c r="I12">
        <v>10</v>
      </c>
      <c r="J12" t="s">
        <v>985</v>
      </c>
      <c r="K12" t="s">
        <v>996</v>
      </c>
      <c r="L12" t="s">
        <v>48</v>
      </c>
      <c r="M12"/>
      <c r="N12" t="s">
        <v>212</v>
      </c>
      <c r="O12">
        <v>2873500</v>
      </c>
      <c r="P12" t="s">
        <v>82</v>
      </c>
      <c r="Q12"/>
      <c r="R12" t="s">
        <v>217</v>
      </c>
      <c r="S12" t="s">
        <v>106</v>
      </c>
      <c r="T12" t="s">
        <v>50</v>
      </c>
      <c r="U12">
        <v>2</v>
      </c>
      <c r="V12">
        <v>0</v>
      </c>
      <c r="W12">
        <v>2579400</v>
      </c>
      <c r="X12" t="s">
        <v>86</v>
      </c>
      <c r="Y12" t="s">
        <v>218</v>
      </c>
      <c r="Z12" t="s">
        <v>88</v>
      </c>
      <c r="AA12" t="s">
        <v>89</v>
      </c>
      <c r="AB12">
        <v>1</v>
      </c>
      <c r="AC12">
        <v>0</v>
      </c>
      <c r="AD12">
        <v>2964000</v>
      </c>
      <c r="AE12" t="s">
        <v>90</v>
      </c>
      <c r="AF12">
        <v>4</v>
      </c>
      <c r="AG12">
        <v>0</v>
      </c>
      <c r="AH12" t="s">
        <v>53</v>
      </c>
      <c r="AI12" t="s">
        <v>72</v>
      </c>
      <c r="AJ12" t="s">
        <v>73</v>
      </c>
      <c r="AK12" t="s">
        <v>74</v>
      </c>
      <c r="AL12" t="s">
        <v>56</v>
      </c>
      <c r="AM12">
        <v>2</v>
      </c>
      <c r="AN12">
        <v>0</v>
      </c>
      <c r="AO12" t="s">
        <v>50</v>
      </c>
      <c r="AP12" s="4" t="s">
        <v>106</v>
      </c>
      <c r="AQ12" t="s">
        <v>82</v>
      </c>
      <c r="AR12" t="s">
        <v>57</v>
      </c>
      <c r="AS12" t="s">
        <v>217</v>
      </c>
      <c r="AT12">
        <v>2873500</v>
      </c>
      <c r="AU12" t="s">
        <v>83</v>
      </c>
      <c r="AV12">
        <v>2</v>
      </c>
      <c r="AX12"/>
      <c r="AY12"/>
      <c r="BA12" s="10"/>
    </row>
    <row r="13" spans="1:53" s="3" customFormat="1" x14ac:dyDescent="0.3">
      <c r="A13" s="3" t="str">
        <f t="shared" si="0"/>
        <v>Sdr. Amsal Anwary, S.T.</v>
      </c>
      <c r="B13" t="s">
        <v>219</v>
      </c>
      <c r="C13" t="s">
        <v>220</v>
      </c>
      <c r="D13" t="s">
        <v>78</v>
      </c>
      <c r="E13" t="s">
        <v>79</v>
      </c>
      <c r="F13" t="s">
        <v>221</v>
      </c>
      <c r="G13" t="s">
        <v>222</v>
      </c>
      <c r="H13">
        <v>3</v>
      </c>
      <c r="I13">
        <v>10</v>
      </c>
      <c r="J13" t="s">
        <v>985</v>
      </c>
      <c r="K13" t="s">
        <v>997</v>
      </c>
      <c r="L13" t="s">
        <v>48</v>
      </c>
      <c r="M13"/>
      <c r="N13" t="s">
        <v>223</v>
      </c>
      <c r="O13">
        <v>2579400</v>
      </c>
      <c r="P13" t="s">
        <v>86</v>
      </c>
      <c r="Q13" t="s">
        <v>94</v>
      </c>
      <c r="R13" t="s">
        <v>224</v>
      </c>
      <c r="S13"/>
      <c r="T13" t="s">
        <v>89</v>
      </c>
      <c r="U13">
        <v>1</v>
      </c>
      <c r="V13">
        <v>0</v>
      </c>
      <c r="W13">
        <v>2579400</v>
      </c>
      <c r="X13" t="s">
        <v>86</v>
      </c>
      <c r="Y13" t="s">
        <v>224</v>
      </c>
      <c r="Z13" t="s">
        <v>88</v>
      </c>
      <c r="AA13" t="s">
        <v>89</v>
      </c>
      <c r="AB13">
        <v>1</v>
      </c>
      <c r="AC13">
        <v>0</v>
      </c>
      <c r="AD13">
        <v>2964000</v>
      </c>
      <c r="AE13" t="s">
        <v>90</v>
      </c>
      <c r="AF13">
        <v>4</v>
      </c>
      <c r="AG13">
        <v>0</v>
      </c>
      <c r="AH13" t="s">
        <v>53</v>
      </c>
      <c r="AI13" t="s">
        <v>72</v>
      </c>
      <c r="AJ13" t="s">
        <v>73</v>
      </c>
      <c r="AK13" t="s">
        <v>74</v>
      </c>
      <c r="AL13" t="s">
        <v>56</v>
      </c>
      <c r="AM13">
        <v>1</v>
      </c>
      <c r="AN13">
        <v>0</v>
      </c>
      <c r="AO13" t="s">
        <v>89</v>
      </c>
      <c r="AP13" s="5" t="s">
        <v>88</v>
      </c>
      <c r="AQ13" t="s">
        <v>86</v>
      </c>
      <c r="AR13" t="s">
        <v>96</v>
      </c>
      <c r="AS13" t="s">
        <v>224</v>
      </c>
      <c r="AT13">
        <v>2579400</v>
      </c>
      <c r="AU13" t="s">
        <v>959</v>
      </c>
      <c r="AV13">
        <v>3</v>
      </c>
      <c r="AX13"/>
      <c r="AY13"/>
      <c r="BA13" s="10"/>
    </row>
    <row r="14" spans="1:53" s="3" customFormat="1" x14ac:dyDescent="0.3">
      <c r="A14" s="3" t="str">
        <f t="shared" si="0"/>
        <v>Sdri. Sarah Fadhila Kusnaedi, S.T.</v>
      </c>
      <c r="B14" t="s">
        <v>225</v>
      </c>
      <c r="C14" t="s">
        <v>226</v>
      </c>
      <c r="D14" t="s">
        <v>78</v>
      </c>
      <c r="E14" t="s">
        <v>79</v>
      </c>
      <c r="F14" t="s">
        <v>227</v>
      </c>
      <c r="G14" t="s">
        <v>228</v>
      </c>
      <c r="H14">
        <v>3</v>
      </c>
      <c r="I14">
        <v>10</v>
      </c>
      <c r="J14" t="s">
        <v>985</v>
      </c>
      <c r="K14" t="s">
        <v>998</v>
      </c>
      <c r="L14" t="s">
        <v>81</v>
      </c>
      <c r="M14"/>
      <c r="N14" t="s">
        <v>229</v>
      </c>
      <c r="O14">
        <v>2873500</v>
      </c>
      <c r="P14" t="s">
        <v>82</v>
      </c>
      <c r="Q14" t="s">
        <v>155</v>
      </c>
      <c r="R14" t="s">
        <v>230</v>
      </c>
      <c r="S14" t="s">
        <v>231</v>
      </c>
      <c r="T14" t="s">
        <v>50</v>
      </c>
      <c r="U14">
        <v>2</v>
      </c>
      <c r="V14">
        <v>0</v>
      </c>
      <c r="W14">
        <v>2579400</v>
      </c>
      <c r="X14" t="s">
        <v>86</v>
      </c>
      <c r="Y14" t="s">
        <v>232</v>
      </c>
      <c r="Z14" t="s">
        <v>88</v>
      </c>
      <c r="AA14" t="s">
        <v>89</v>
      </c>
      <c r="AB14">
        <v>1</v>
      </c>
      <c r="AC14">
        <v>0</v>
      </c>
      <c r="AD14">
        <v>2964000</v>
      </c>
      <c r="AE14" t="s">
        <v>90</v>
      </c>
      <c r="AF14">
        <v>4</v>
      </c>
      <c r="AG14">
        <v>0</v>
      </c>
      <c r="AH14" t="s">
        <v>53</v>
      </c>
      <c r="AI14" t="s">
        <v>72</v>
      </c>
      <c r="AJ14" t="s">
        <v>73</v>
      </c>
      <c r="AK14" t="s">
        <v>74</v>
      </c>
      <c r="AL14" t="s">
        <v>56</v>
      </c>
      <c r="AM14">
        <v>2</v>
      </c>
      <c r="AN14">
        <v>0</v>
      </c>
      <c r="AO14" t="s">
        <v>50</v>
      </c>
      <c r="AP14" s="4" t="s">
        <v>231</v>
      </c>
      <c r="AQ14" t="s">
        <v>82</v>
      </c>
      <c r="AR14" t="s">
        <v>57</v>
      </c>
      <c r="AS14" t="s">
        <v>230</v>
      </c>
      <c r="AT14">
        <v>2873500</v>
      </c>
      <c r="AU14" t="s">
        <v>83</v>
      </c>
      <c r="AV14">
        <v>2</v>
      </c>
      <c r="AX14"/>
      <c r="AY14"/>
      <c r="BA14" s="10"/>
    </row>
    <row r="15" spans="1:53" s="3" customFormat="1" x14ac:dyDescent="0.3">
      <c r="A15" s="3" t="str">
        <f t="shared" si="0"/>
        <v>Sdr. Fardinata, S.T.</v>
      </c>
      <c r="B15" t="s">
        <v>233</v>
      </c>
      <c r="C15" t="s">
        <v>234</v>
      </c>
      <c r="D15" t="s">
        <v>78</v>
      </c>
      <c r="E15" t="s">
        <v>79</v>
      </c>
      <c r="F15" t="s">
        <v>80</v>
      </c>
      <c r="G15" t="s">
        <v>235</v>
      </c>
      <c r="H15">
        <v>3</v>
      </c>
      <c r="I15">
        <v>10</v>
      </c>
      <c r="J15" t="s">
        <v>985</v>
      </c>
      <c r="K15" t="s">
        <v>999</v>
      </c>
      <c r="L15" t="s">
        <v>48</v>
      </c>
      <c r="M15"/>
      <c r="N15" t="s">
        <v>236</v>
      </c>
      <c r="O15">
        <v>2579400</v>
      </c>
      <c r="P15" t="s">
        <v>86</v>
      </c>
      <c r="Q15"/>
      <c r="R15" t="s">
        <v>237</v>
      </c>
      <c r="S15" t="s">
        <v>238</v>
      </c>
      <c r="T15" t="s">
        <v>89</v>
      </c>
      <c r="U15">
        <v>1</v>
      </c>
      <c r="V15">
        <v>0</v>
      </c>
      <c r="W15">
        <v>2579400</v>
      </c>
      <c r="X15" t="s">
        <v>86</v>
      </c>
      <c r="Y15" t="s">
        <v>237</v>
      </c>
      <c r="Z15" t="s">
        <v>88</v>
      </c>
      <c r="AA15" t="s">
        <v>89</v>
      </c>
      <c r="AB15">
        <v>1</v>
      </c>
      <c r="AC15">
        <v>0</v>
      </c>
      <c r="AD15">
        <v>2964000</v>
      </c>
      <c r="AE15" t="s">
        <v>90</v>
      </c>
      <c r="AF15">
        <v>4</v>
      </c>
      <c r="AG15">
        <v>0</v>
      </c>
      <c r="AH15" t="s">
        <v>53</v>
      </c>
      <c r="AI15" t="s">
        <v>72</v>
      </c>
      <c r="AJ15" t="s">
        <v>73</v>
      </c>
      <c r="AK15" t="s">
        <v>74</v>
      </c>
      <c r="AL15" t="s">
        <v>56</v>
      </c>
      <c r="AM15">
        <v>1</v>
      </c>
      <c r="AN15">
        <v>0</v>
      </c>
      <c r="AO15" t="s">
        <v>89</v>
      </c>
      <c r="AP15" s="4" t="s">
        <v>238</v>
      </c>
      <c r="AQ15" t="s">
        <v>86</v>
      </c>
      <c r="AR15" t="s">
        <v>96</v>
      </c>
      <c r="AS15" t="s">
        <v>237</v>
      </c>
      <c r="AT15">
        <v>2579400</v>
      </c>
      <c r="AU15" t="s">
        <v>959</v>
      </c>
      <c r="AV15">
        <v>3</v>
      </c>
      <c r="AX15"/>
      <c r="AY15"/>
      <c r="BA15" s="10"/>
    </row>
    <row r="16" spans="1:53" x14ac:dyDescent="0.3">
      <c r="A16" s="3" t="str">
        <f t="shared" si="0"/>
        <v>Sdr. M Ghifari, S.T.</v>
      </c>
      <c r="B16" t="s">
        <v>239</v>
      </c>
      <c r="C16" t="s">
        <v>240</v>
      </c>
      <c r="D16" t="s">
        <v>78</v>
      </c>
      <c r="E16" t="s">
        <v>79</v>
      </c>
      <c r="F16" t="s">
        <v>80</v>
      </c>
      <c r="G16" t="s">
        <v>241</v>
      </c>
      <c r="H16">
        <v>3</v>
      </c>
      <c r="I16">
        <v>10</v>
      </c>
      <c r="J16" t="s">
        <v>985</v>
      </c>
      <c r="K16" t="s">
        <v>1000</v>
      </c>
      <c r="L16" t="s">
        <v>48</v>
      </c>
      <c r="N16" t="s">
        <v>242</v>
      </c>
      <c r="O16">
        <v>2873500</v>
      </c>
      <c r="P16" t="s">
        <v>82</v>
      </c>
      <c r="Q16" t="s">
        <v>155</v>
      </c>
      <c r="R16" t="s">
        <v>243</v>
      </c>
      <c r="S16" t="s">
        <v>231</v>
      </c>
      <c r="T16" t="s">
        <v>50</v>
      </c>
      <c r="U16">
        <v>2</v>
      </c>
      <c r="V16">
        <v>0</v>
      </c>
      <c r="W16">
        <v>2579400</v>
      </c>
      <c r="X16" t="s">
        <v>86</v>
      </c>
      <c r="Y16" t="s">
        <v>244</v>
      </c>
      <c r="Z16" t="s">
        <v>88</v>
      </c>
      <c r="AA16" t="s">
        <v>89</v>
      </c>
      <c r="AB16">
        <v>1</v>
      </c>
      <c r="AC16">
        <v>0</v>
      </c>
      <c r="AD16">
        <v>2964000</v>
      </c>
      <c r="AE16" t="s">
        <v>90</v>
      </c>
      <c r="AF16">
        <v>4</v>
      </c>
      <c r="AG16">
        <v>0</v>
      </c>
      <c r="AH16" t="s">
        <v>53</v>
      </c>
      <c r="AI16" t="s">
        <v>72</v>
      </c>
      <c r="AJ16" t="s">
        <v>73</v>
      </c>
      <c r="AK16" t="s">
        <v>74</v>
      </c>
      <c r="AL16" t="s">
        <v>56</v>
      </c>
      <c r="AM16">
        <v>2</v>
      </c>
      <c r="AN16">
        <v>0</v>
      </c>
      <c r="AO16" t="s">
        <v>50</v>
      </c>
      <c r="AP16" s="4" t="s">
        <v>231</v>
      </c>
      <c r="AQ16" t="s">
        <v>82</v>
      </c>
      <c r="AR16" t="s">
        <v>57</v>
      </c>
      <c r="AS16" t="s">
        <v>243</v>
      </c>
      <c r="AT16">
        <v>2873500</v>
      </c>
      <c r="AU16" t="s">
        <v>83</v>
      </c>
      <c r="AV16">
        <v>2</v>
      </c>
    </row>
    <row r="17" spans="1:53" x14ac:dyDescent="0.3">
      <c r="A17" s="3" t="str">
        <f t="shared" si="0"/>
        <v>Sdr. Nico Saputra, S.T.</v>
      </c>
      <c r="B17" t="s">
        <v>245</v>
      </c>
      <c r="C17" t="s">
        <v>246</v>
      </c>
      <c r="D17" t="s">
        <v>247</v>
      </c>
      <c r="E17" t="s">
        <v>248</v>
      </c>
      <c r="F17" t="s">
        <v>80</v>
      </c>
      <c r="G17" t="s">
        <v>249</v>
      </c>
      <c r="H17">
        <v>3</v>
      </c>
      <c r="I17">
        <v>10</v>
      </c>
      <c r="J17" t="s">
        <v>985</v>
      </c>
      <c r="K17" t="s">
        <v>1001</v>
      </c>
      <c r="L17" t="s">
        <v>48</v>
      </c>
      <c r="N17" t="s">
        <v>250</v>
      </c>
      <c r="O17">
        <v>2995000</v>
      </c>
      <c r="P17" t="s">
        <v>251</v>
      </c>
      <c r="R17" t="s">
        <v>252</v>
      </c>
      <c r="S17" t="s">
        <v>253</v>
      </c>
      <c r="T17" t="s">
        <v>254</v>
      </c>
      <c r="U17">
        <v>3</v>
      </c>
      <c r="V17">
        <v>10</v>
      </c>
      <c r="W17">
        <v>2995000</v>
      </c>
      <c r="X17" t="s">
        <v>251</v>
      </c>
      <c r="Y17" t="s">
        <v>252</v>
      </c>
      <c r="Z17" t="s">
        <v>253</v>
      </c>
      <c r="AA17" t="s">
        <v>254</v>
      </c>
      <c r="AB17">
        <v>3</v>
      </c>
      <c r="AC17">
        <v>10</v>
      </c>
      <c r="AD17">
        <v>3089300</v>
      </c>
      <c r="AE17" t="s">
        <v>255</v>
      </c>
      <c r="AF17">
        <v>4</v>
      </c>
      <c r="AG17">
        <v>0</v>
      </c>
      <c r="AH17" t="s">
        <v>53</v>
      </c>
      <c r="AI17" t="s">
        <v>72</v>
      </c>
      <c r="AJ17" t="s">
        <v>73</v>
      </c>
      <c r="AK17" t="s">
        <v>74</v>
      </c>
      <c r="AL17" t="s">
        <v>56</v>
      </c>
      <c r="AM17">
        <v>3</v>
      </c>
      <c r="AN17">
        <v>10</v>
      </c>
      <c r="AO17" t="s">
        <v>254</v>
      </c>
      <c r="AP17" s="4" t="s">
        <v>253</v>
      </c>
      <c r="AQ17" t="s">
        <v>251</v>
      </c>
      <c r="AR17" t="s">
        <v>256</v>
      </c>
      <c r="AS17" t="s">
        <v>252</v>
      </c>
      <c r="AT17">
        <v>2995000</v>
      </c>
      <c r="AU17" t="s">
        <v>959</v>
      </c>
      <c r="AV17">
        <v>1</v>
      </c>
    </row>
    <row r="18" spans="1:53" x14ac:dyDescent="0.3">
      <c r="A18" s="3" t="str">
        <f t="shared" si="0"/>
        <v>Sdr. Muhammad Furqan Fadillah, S.T.</v>
      </c>
      <c r="B18" t="s">
        <v>257</v>
      </c>
      <c r="C18" t="s">
        <v>258</v>
      </c>
      <c r="D18" t="s">
        <v>78</v>
      </c>
      <c r="E18" t="s">
        <v>79</v>
      </c>
      <c r="F18" t="s">
        <v>80</v>
      </c>
      <c r="G18" t="s">
        <v>259</v>
      </c>
      <c r="H18">
        <v>3</v>
      </c>
      <c r="I18">
        <v>10</v>
      </c>
      <c r="J18" t="s">
        <v>985</v>
      </c>
      <c r="K18" t="s">
        <v>1002</v>
      </c>
      <c r="L18" t="s">
        <v>48</v>
      </c>
      <c r="N18" t="s">
        <v>260</v>
      </c>
      <c r="O18">
        <v>2873500</v>
      </c>
      <c r="P18" t="s">
        <v>82</v>
      </c>
      <c r="Q18" t="s">
        <v>83</v>
      </c>
      <c r="R18" t="s">
        <v>261</v>
      </c>
      <c r="S18" t="s">
        <v>106</v>
      </c>
      <c r="T18" t="s">
        <v>50</v>
      </c>
      <c r="U18">
        <v>2</v>
      </c>
      <c r="V18">
        <v>0</v>
      </c>
      <c r="W18">
        <v>2579400</v>
      </c>
      <c r="X18" t="s">
        <v>86</v>
      </c>
      <c r="Y18" t="s">
        <v>262</v>
      </c>
      <c r="Z18" t="s">
        <v>88</v>
      </c>
      <c r="AA18" t="s">
        <v>89</v>
      </c>
      <c r="AB18">
        <v>1</v>
      </c>
      <c r="AC18">
        <v>0</v>
      </c>
      <c r="AD18">
        <v>2964000</v>
      </c>
      <c r="AE18" t="s">
        <v>90</v>
      </c>
      <c r="AF18">
        <v>4</v>
      </c>
      <c r="AG18">
        <v>0</v>
      </c>
      <c r="AH18" t="s">
        <v>53</v>
      </c>
      <c r="AI18" t="s">
        <v>72</v>
      </c>
      <c r="AJ18" t="s">
        <v>73</v>
      </c>
      <c r="AK18" t="s">
        <v>74</v>
      </c>
      <c r="AL18" t="s">
        <v>56</v>
      </c>
      <c r="AM18">
        <v>2</v>
      </c>
      <c r="AN18">
        <v>0</v>
      </c>
      <c r="AO18" t="s">
        <v>50</v>
      </c>
      <c r="AP18" s="4" t="s">
        <v>106</v>
      </c>
      <c r="AQ18" t="s">
        <v>82</v>
      </c>
      <c r="AR18" t="s">
        <v>57</v>
      </c>
      <c r="AS18" t="s">
        <v>261</v>
      </c>
      <c r="AT18">
        <v>2873500</v>
      </c>
      <c r="AU18" t="s">
        <v>83</v>
      </c>
      <c r="AV18">
        <v>2</v>
      </c>
    </row>
    <row r="19" spans="1:53" x14ac:dyDescent="0.3">
      <c r="A19" s="3" t="str">
        <f t="shared" si="0"/>
        <v>Sdri. Sonya Tiara Aisyah, S.T.</v>
      </c>
      <c r="B19" t="s">
        <v>263</v>
      </c>
      <c r="C19" t="s">
        <v>264</v>
      </c>
      <c r="D19" t="s">
        <v>78</v>
      </c>
      <c r="E19" t="s">
        <v>79</v>
      </c>
      <c r="F19" t="s">
        <v>80</v>
      </c>
      <c r="G19" t="s">
        <v>259</v>
      </c>
      <c r="H19">
        <v>3</v>
      </c>
      <c r="I19">
        <v>10</v>
      </c>
      <c r="J19" t="s">
        <v>985</v>
      </c>
      <c r="K19" t="s">
        <v>1003</v>
      </c>
      <c r="L19" t="s">
        <v>81</v>
      </c>
      <c r="N19" t="s">
        <v>260</v>
      </c>
      <c r="O19">
        <v>2873500</v>
      </c>
      <c r="P19" t="s">
        <v>82</v>
      </c>
      <c r="Q19" t="s">
        <v>119</v>
      </c>
      <c r="R19" t="s">
        <v>265</v>
      </c>
      <c r="S19" t="s">
        <v>231</v>
      </c>
      <c r="T19" t="s">
        <v>50</v>
      </c>
      <c r="U19">
        <v>2</v>
      </c>
      <c r="V19">
        <v>0</v>
      </c>
      <c r="W19">
        <v>2579400</v>
      </c>
      <c r="X19" t="s">
        <v>86</v>
      </c>
      <c r="Y19" t="s">
        <v>266</v>
      </c>
      <c r="Z19" t="s">
        <v>88</v>
      </c>
      <c r="AA19" t="s">
        <v>89</v>
      </c>
      <c r="AB19">
        <v>1</v>
      </c>
      <c r="AC19">
        <v>0</v>
      </c>
      <c r="AD19">
        <v>2964000</v>
      </c>
      <c r="AE19" t="s">
        <v>90</v>
      </c>
      <c r="AF19">
        <v>4</v>
      </c>
      <c r="AG19">
        <v>0</v>
      </c>
      <c r="AH19" t="s">
        <v>53</v>
      </c>
      <c r="AI19" t="s">
        <v>72</v>
      </c>
      <c r="AJ19" t="s">
        <v>73</v>
      </c>
      <c r="AK19" t="s">
        <v>74</v>
      </c>
      <c r="AL19" t="s">
        <v>56</v>
      </c>
      <c r="AM19">
        <v>2</v>
      </c>
      <c r="AN19">
        <v>0</v>
      </c>
      <c r="AO19" t="s">
        <v>50</v>
      </c>
      <c r="AP19" s="4" t="s">
        <v>231</v>
      </c>
      <c r="AQ19" t="s">
        <v>82</v>
      </c>
      <c r="AR19" t="s">
        <v>57</v>
      </c>
      <c r="AS19" t="s">
        <v>265</v>
      </c>
      <c r="AT19">
        <v>2873500</v>
      </c>
      <c r="AU19" t="s">
        <v>83</v>
      </c>
      <c r="AV19">
        <v>2</v>
      </c>
    </row>
    <row r="20" spans="1:53" x14ac:dyDescent="0.3">
      <c r="A20" s="3" t="str">
        <f t="shared" si="0"/>
        <v>Sdr. Tb Andi Nurkalam, S.M.</v>
      </c>
      <c r="B20" t="s">
        <v>267</v>
      </c>
      <c r="C20" t="s">
        <v>268</v>
      </c>
      <c r="D20" t="s">
        <v>78</v>
      </c>
      <c r="E20" t="s">
        <v>79</v>
      </c>
      <c r="F20" t="s">
        <v>269</v>
      </c>
      <c r="G20" t="s">
        <v>270</v>
      </c>
      <c r="H20">
        <v>17</v>
      </c>
      <c r="I20">
        <v>10</v>
      </c>
      <c r="J20" t="s">
        <v>985</v>
      </c>
      <c r="K20" t="s">
        <v>1004</v>
      </c>
      <c r="L20" t="s">
        <v>48</v>
      </c>
      <c r="N20" t="s">
        <v>271</v>
      </c>
      <c r="O20">
        <v>3570100</v>
      </c>
      <c r="P20" t="s">
        <v>272</v>
      </c>
      <c r="Q20" t="s">
        <v>83</v>
      </c>
      <c r="R20" t="s">
        <v>273</v>
      </c>
      <c r="S20" t="s">
        <v>85</v>
      </c>
      <c r="T20" t="s">
        <v>50</v>
      </c>
      <c r="U20">
        <v>16</v>
      </c>
      <c r="V20">
        <v>0</v>
      </c>
      <c r="W20">
        <v>3204700</v>
      </c>
      <c r="X20" t="s">
        <v>274</v>
      </c>
      <c r="Y20" t="s">
        <v>275</v>
      </c>
      <c r="Z20" t="s">
        <v>276</v>
      </c>
      <c r="AA20" t="s">
        <v>277</v>
      </c>
      <c r="AB20">
        <v>14</v>
      </c>
      <c r="AC20">
        <v>7</v>
      </c>
      <c r="AD20">
        <v>3682500</v>
      </c>
      <c r="AE20" t="s">
        <v>278</v>
      </c>
      <c r="AF20">
        <v>18</v>
      </c>
      <c r="AG20">
        <v>0</v>
      </c>
      <c r="AH20" t="s">
        <v>53</v>
      </c>
      <c r="AI20" t="s">
        <v>72</v>
      </c>
      <c r="AJ20" t="s">
        <v>73</v>
      </c>
      <c r="AK20" t="s">
        <v>74</v>
      </c>
      <c r="AL20" t="s">
        <v>56</v>
      </c>
      <c r="AM20">
        <v>16</v>
      </c>
      <c r="AN20">
        <v>0</v>
      </c>
      <c r="AO20" t="s">
        <v>50</v>
      </c>
      <c r="AP20" s="4" t="s">
        <v>85</v>
      </c>
      <c r="AQ20" t="s">
        <v>272</v>
      </c>
      <c r="AR20" t="s">
        <v>57</v>
      </c>
      <c r="AS20" t="s">
        <v>273</v>
      </c>
      <c r="AT20">
        <v>3570100</v>
      </c>
      <c r="AU20" t="s">
        <v>83</v>
      </c>
      <c r="AV20">
        <v>2</v>
      </c>
    </row>
    <row r="21" spans="1:53" x14ac:dyDescent="0.3">
      <c r="A21" s="3" t="str">
        <f t="shared" si="0"/>
        <v>Sdr. Nabil Muhammad, S.T.</v>
      </c>
      <c r="B21" t="s">
        <v>279</v>
      </c>
      <c r="C21" t="s">
        <v>280</v>
      </c>
      <c r="D21" t="s">
        <v>60</v>
      </c>
      <c r="E21" t="s">
        <v>61</v>
      </c>
      <c r="F21" t="s">
        <v>281</v>
      </c>
      <c r="G21" t="s">
        <v>270</v>
      </c>
      <c r="H21">
        <v>7</v>
      </c>
      <c r="I21">
        <v>10</v>
      </c>
      <c r="J21" t="s">
        <v>985</v>
      </c>
      <c r="K21" t="s">
        <v>1005</v>
      </c>
      <c r="L21" t="s">
        <v>48</v>
      </c>
      <c r="N21" t="s">
        <v>271</v>
      </c>
      <c r="O21">
        <v>3321400</v>
      </c>
      <c r="P21" t="s">
        <v>66</v>
      </c>
      <c r="R21" t="s">
        <v>282</v>
      </c>
      <c r="S21" t="s">
        <v>283</v>
      </c>
      <c r="T21" t="s">
        <v>284</v>
      </c>
      <c r="U21">
        <v>7</v>
      </c>
      <c r="V21">
        <v>1</v>
      </c>
      <c r="W21">
        <v>3321400</v>
      </c>
      <c r="X21" t="s">
        <v>66</v>
      </c>
      <c r="Y21" t="s">
        <v>282</v>
      </c>
      <c r="Z21" t="s">
        <v>283</v>
      </c>
      <c r="AA21" t="s">
        <v>284</v>
      </c>
      <c r="AB21">
        <v>7</v>
      </c>
      <c r="AC21">
        <v>1</v>
      </c>
      <c r="AD21">
        <v>3426000</v>
      </c>
      <c r="AE21" t="s">
        <v>71</v>
      </c>
      <c r="AF21">
        <v>8</v>
      </c>
      <c r="AG21">
        <v>0</v>
      </c>
      <c r="AH21" t="s">
        <v>53</v>
      </c>
      <c r="AI21" t="s">
        <v>72</v>
      </c>
      <c r="AJ21" t="s">
        <v>73</v>
      </c>
      <c r="AK21" t="s">
        <v>74</v>
      </c>
      <c r="AL21" t="s">
        <v>56</v>
      </c>
      <c r="AM21">
        <v>7</v>
      </c>
      <c r="AN21">
        <v>1</v>
      </c>
      <c r="AO21" t="s">
        <v>284</v>
      </c>
      <c r="AP21" s="4" t="s">
        <v>283</v>
      </c>
      <c r="AQ21" t="s">
        <v>66</v>
      </c>
      <c r="AR21" t="s">
        <v>285</v>
      </c>
      <c r="AS21" t="s">
        <v>282</v>
      </c>
      <c r="AT21">
        <v>3321400</v>
      </c>
      <c r="AU21" t="s">
        <v>959</v>
      </c>
      <c r="AV21">
        <v>1</v>
      </c>
      <c r="AW21" s="3" t="s">
        <v>960</v>
      </c>
    </row>
    <row r="22" spans="1:53" x14ac:dyDescent="0.3">
      <c r="A22" s="3" t="str">
        <f t="shared" si="0"/>
        <v>Sdr. Alexandrio De Pell Dos Reis, S.T.</v>
      </c>
      <c r="B22" t="s">
        <v>286</v>
      </c>
      <c r="C22" t="s">
        <v>287</v>
      </c>
      <c r="D22" t="s">
        <v>78</v>
      </c>
      <c r="E22" t="s">
        <v>79</v>
      </c>
      <c r="F22" t="s">
        <v>80</v>
      </c>
      <c r="G22" t="s">
        <v>270</v>
      </c>
      <c r="H22">
        <v>3</v>
      </c>
      <c r="I22">
        <v>10</v>
      </c>
      <c r="J22" t="s">
        <v>985</v>
      </c>
      <c r="K22" t="s">
        <v>1006</v>
      </c>
      <c r="L22" t="s">
        <v>48</v>
      </c>
      <c r="N22" t="s">
        <v>271</v>
      </c>
      <c r="O22">
        <v>2873500</v>
      </c>
      <c r="P22" t="s">
        <v>82</v>
      </c>
      <c r="Q22" t="s">
        <v>83</v>
      </c>
      <c r="R22" t="s">
        <v>288</v>
      </c>
      <c r="S22" t="s">
        <v>190</v>
      </c>
      <c r="T22" t="s">
        <v>50</v>
      </c>
      <c r="U22">
        <v>2</v>
      </c>
      <c r="V22">
        <v>0</v>
      </c>
      <c r="W22">
        <v>2579400</v>
      </c>
      <c r="X22" t="s">
        <v>86</v>
      </c>
      <c r="Y22" t="s">
        <v>289</v>
      </c>
      <c r="Z22" t="s">
        <v>290</v>
      </c>
      <c r="AA22" t="s">
        <v>89</v>
      </c>
      <c r="AB22">
        <v>1</v>
      </c>
      <c r="AC22">
        <v>0</v>
      </c>
      <c r="AD22">
        <v>2964000</v>
      </c>
      <c r="AE22" t="s">
        <v>90</v>
      </c>
      <c r="AF22">
        <v>4</v>
      </c>
      <c r="AG22">
        <v>0</v>
      </c>
      <c r="AH22" t="s">
        <v>53</v>
      </c>
      <c r="AI22" t="s">
        <v>72</v>
      </c>
      <c r="AJ22" t="s">
        <v>73</v>
      </c>
      <c r="AK22" t="s">
        <v>74</v>
      </c>
      <c r="AL22" t="s">
        <v>56</v>
      </c>
      <c r="AM22">
        <v>2</v>
      </c>
      <c r="AN22">
        <v>0</v>
      </c>
      <c r="AO22" t="s">
        <v>50</v>
      </c>
      <c r="AP22" s="4" t="s">
        <v>190</v>
      </c>
      <c r="AQ22" t="s">
        <v>82</v>
      </c>
      <c r="AR22" t="s">
        <v>57</v>
      </c>
      <c r="AS22" t="s">
        <v>288</v>
      </c>
      <c r="AT22">
        <v>2873500</v>
      </c>
      <c r="AU22" t="s">
        <v>83</v>
      </c>
      <c r="AV22">
        <v>2</v>
      </c>
    </row>
    <row r="23" spans="1:53" x14ac:dyDescent="0.3">
      <c r="A23" s="3" t="str">
        <f t="shared" si="0"/>
        <v>Sdr. Muhammad Guntur Drajat, S.T.</v>
      </c>
      <c r="B23" t="s">
        <v>291</v>
      </c>
      <c r="C23" t="s">
        <v>292</v>
      </c>
      <c r="D23" t="s">
        <v>78</v>
      </c>
      <c r="E23" t="s">
        <v>79</v>
      </c>
      <c r="F23" t="s">
        <v>80</v>
      </c>
      <c r="G23" t="s">
        <v>270</v>
      </c>
      <c r="H23">
        <v>3</v>
      </c>
      <c r="I23">
        <v>10</v>
      </c>
      <c r="J23" t="s">
        <v>985</v>
      </c>
      <c r="K23" t="s">
        <v>1007</v>
      </c>
      <c r="L23" t="s">
        <v>48</v>
      </c>
      <c r="N23" t="s">
        <v>271</v>
      </c>
      <c r="O23">
        <v>2873500</v>
      </c>
      <c r="P23" t="s">
        <v>82</v>
      </c>
      <c r="Q23" t="s">
        <v>83</v>
      </c>
      <c r="R23" t="s">
        <v>293</v>
      </c>
      <c r="S23" t="s">
        <v>190</v>
      </c>
      <c r="T23" t="s">
        <v>50</v>
      </c>
      <c r="U23">
        <v>2</v>
      </c>
      <c r="V23">
        <v>0</v>
      </c>
      <c r="W23">
        <v>2579400</v>
      </c>
      <c r="X23" t="s">
        <v>86</v>
      </c>
      <c r="Y23" t="s">
        <v>294</v>
      </c>
      <c r="Z23" t="s">
        <v>88</v>
      </c>
      <c r="AA23" t="s">
        <v>89</v>
      </c>
      <c r="AB23">
        <v>1</v>
      </c>
      <c r="AC23">
        <v>0</v>
      </c>
      <c r="AD23">
        <v>2964000</v>
      </c>
      <c r="AE23" t="s">
        <v>90</v>
      </c>
      <c r="AF23">
        <v>4</v>
      </c>
      <c r="AG23">
        <v>0</v>
      </c>
      <c r="AH23" t="s">
        <v>53</v>
      </c>
      <c r="AI23" t="s">
        <v>72</v>
      </c>
      <c r="AJ23" t="s">
        <v>73</v>
      </c>
      <c r="AK23" t="s">
        <v>74</v>
      </c>
      <c r="AL23" t="s">
        <v>56</v>
      </c>
      <c r="AM23">
        <v>2</v>
      </c>
      <c r="AN23">
        <v>0</v>
      </c>
      <c r="AO23" t="s">
        <v>50</v>
      </c>
      <c r="AP23" s="4" t="s">
        <v>190</v>
      </c>
      <c r="AQ23" t="s">
        <v>82</v>
      </c>
      <c r="AR23" t="s">
        <v>57</v>
      </c>
      <c r="AS23" t="s">
        <v>293</v>
      </c>
      <c r="AT23">
        <v>2873500</v>
      </c>
      <c r="AU23" t="s">
        <v>83</v>
      </c>
      <c r="AV23">
        <v>2</v>
      </c>
    </row>
    <row r="24" spans="1:53" x14ac:dyDescent="0.3">
      <c r="A24" s="3" t="str">
        <f t="shared" si="0"/>
        <v>Sdr. Nicolas Ananto Seno Widiatmoko, S.T.</v>
      </c>
      <c r="B24" t="s">
        <v>295</v>
      </c>
      <c r="C24" t="s">
        <v>296</v>
      </c>
      <c r="D24" t="s">
        <v>78</v>
      </c>
      <c r="E24" t="s">
        <v>79</v>
      </c>
      <c r="F24" t="s">
        <v>80</v>
      </c>
      <c r="G24" t="s">
        <v>297</v>
      </c>
      <c r="H24">
        <v>3</v>
      </c>
      <c r="I24">
        <v>10</v>
      </c>
      <c r="J24" t="s">
        <v>985</v>
      </c>
      <c r="K24" t="s">
        <v>1008</v>
      </c>
      <c r="L24" t="s">
        <v>48</v>
      </c>
      <c r="N24" t="s">
        <v>298</v>
      </c>
      <c r="O24">
        <v>2873500</v>
      </c>
      <c r="P24" t="s">
        <v>82</v>
      </c>
      <c r="Q24" t="s">
        <v>83</v>
      </c>
      <c r="R24" t="s">
        <v>299</v>
      </c>
      <c r="S24" t="s">
        <v>85</v>
      </c>
      <c r="T24" t="s">
        <v>50</v>
      </c>
      <c r="U24">
        <v>2</v>
      </c>
      <c r="V24">
        <v>0</v>
      </c>
      <c r="W24">
        <v>2579400</v>
      </c>
      <c r="X24" t="s">
        <v>86</v>
      </c>
      <c r="Y24" t="s">
        <v>300</v>
      </c>
      <c r="Z24" t="s">
        <v>88</v>
      </c>
      <c r="AA24" t="s">
        <v>89</v>
      </c>
      <c r="AB24">
        <v>1</v>
      </c>
      <c r="AC24">
        <v>0</v>
      </c>
      <c r="AD24">
        <v>2964000</v>
      </c>
      <c r="AE24" t="s">
        <v>90</v>
      </c>
      <c r="AF24">
        <v>4</v>
      </c>
      <c r="AG24">
        <v>0</v>
      </c>
      <c r="AH24" t="s">
        <v>53</v>
      </c>
      <c r="AI24" t="s">
        <v>72</v>
      </c>
      <c r="AJ24" t="s">
        <v>73</v>
      </c>
      <c r="AK24" t="s">
        <v>74</v>
      </c>
      <c r="AL24" t="s">
        <v>56</v>
      </c>
      <c r="AM24">
        <v>2</v>
      </c>
      <c r="AN24">
        <v>0</v>
      </c>
      <c r="AO24" t="s">
        <v>50</v>
      </c>
      <c r="AP24" s="4" t="s">
        <v>85</v>
      </c>
      <c r="AQ24" t="s">
        <v>82</v>
      </c>
      <c r="AR24" t="s">
        <v>57</v>
      </c>
      <c r="AS24" t="s">
        <v>299</v>
      </c>
      <c r="AT24">
        <v>2873500</v>
      </c>
      <c r="AU24" t="s">
        <v>83</v>
      </c>
      <c r="AV24">
        <v>2</v>
      </c>
    </row>
    <row r="25" spans="1:53" x14ac:dyDescent="0.3">
      <c r="A25" s="3" t="str">
        <f t="shared" si="0"/>
        <v>Sdri. Novi Dwi Lestari, S.T.</v>
      </c>
      <c r="B25" t="s">
        <v>301</v>
      </c>
      <c r="C25" t="s">
        <v>302</v>
      </c>
      <c r="D25" t="s">
        <v>78</v>
      </c>
      <c r="E25" t="s">
        <v>79</v>
      </c>
      <c r="F25" t="s">
        <v>80</v>
      </c>
      <c r="G25" t="s">
        <v>297</v>
      </c>
      <c r="H25">
        <v>3</v>
      </c>
      <c r="I25">
        <v>10</v>
      </c>
      <c r="J25" t="s">
        <v>985</v>
      </c>
      <c r="K25" t="s">
        <v>1009</v>
      </c>
      <c r="L25" t="s">
        <v>81</v>
      </c>
      <c r="N25" t="s">
        <v>298</v>
      </c>
      <c r="O25">
        <v>2873500</v>
      </c>
      <c r="P25" t="s">
        <v>82</v>
      </c>
      <c r="Q25" t="s">
        <v>83</v>
      </c>
      <c r="R25" t="s">
        <v>303</v>
      </c>
      <c r="S25" t="s">
        <v>85</v>
      </c>
      <c r="T25" t="s">
        <v>50</v>
      </c>
      <c r="U25">
        <v>2</v>
      </c>
      <c r="V25">
        <v>0</v>
      </c>
      <c r="W25">
        <v>2579400</v>
      </c>
      <c r="X25" t="s">
        <v>86</v>
      </c>
      <c r="Y25" t="s">
        <v>304</v>
      </c>
      <c r="Z25" t="s">
        <v>88</v>
      </c>
      <c r="AA25" t="s">
        <v>89</v>
      </c>
      <c r="AB25">
        <v>1</v>
      </c>
      <c r="AC25">
        <v>0</v>
      </c>
      <c r="AD25">
        <v>2964000</v>
      </c>
      <c r="AE25" t="s">
        <v>90</v>
      </c>
      <c r="AF25">
        <v>4</v>
      </c>
      <c r="AG25">
        <v>0</v>
      </c>
      <c r="AH25" t="s">
        <v>53</v>
      </c>
      <c r="AI25" t="s">
        <v>72</v>
      </c>
      <c r="AJ25" t="s">
        <v>73</v>
      </c>
      <c r="AK25" t="s">
        <v>74</v>
      </c>
      <c r="AL25" t="s">
        <v>56</v>
      </c>
      <c r="AM25">
        <v>2</v>
      </c>
      <c r="AN25">
        <v>0</v>
      </c>
      <c r="AO25" t="s">
        <v>50</v>
      </c>
      <c r="AP25" s="4" t="s">
        <v>85</v>
      </c>
      <c r="AQ25" t="s">
        <v>82</v>
      </c>
      <c r="AR25" t="s">
        <v>57</v>
      </c>
      <c r="AS25" t="s">
        <v>303</v>
      </c>
      <c r="AT25">
        <v>2873500</v>
      </c>
      <c r="AU25" t="s">
        <v>83</v>
      </c>
      <c r="AV25">
        <v>2</v>
      </c>
    </row>
    <row r="26" spans="1:53" x14ac:dyDescent="0.3">
      <c r="A26" s="3" t="str">
        <f t="shared" si="0"/>
        <v>Sdri. Eva Kumala Wikan Prasodjo, S.T.</v>
      </c>
      <c r="B26" t="s">
        <v>305</v>
      </c>
      <c r="C26" t="s">
        <v>306</v>
      </c>
      <c r="D26" t="s">
        <v>78</v>
      </c>
      <c r="E26" t="s">
        <v>79</v>
      </c>
      <c r="F26" t="s">
        <v>93</v>
      </c>
      <c r="G26" t="s">
        <v>46</v>
      </c>
      <c r="H26">
        <v>3</v>
      </c>
      <c r="I26">
        <v>10</v>
      </c>
      <c r="J26" t="s">
        <v>985</v>
      </c>
      <c r="K26" t="s">
        <v>1010</v>
      </c>
      <c r="L26" t="s">
        <v>81</v>
      </c>
      <c r="N26" t="s">
        <v>49</v>
      </c>
      <c r="O26">
        <v>2873500</v>
      </c>
      <c r="P26" t="s">
        <v>82</v>
      </c>
      <c r="Q26" t="s">
        <v>54</v>
      </c>
      <c r="R26" t="s">
        <v>307</v>
      </c>
      <c r="S26" t="s">
        <v>308</v>
      </c>
      <c r="T26" t="s">
        <v>50</v>
      </c>
      <c r="U26">
        <v>2</v>
      </c>
      <c r="V26">
        <v>0</v>
      </c>
      <c r="W26">
        <v>2579400</v>
      </c>
      <c r="X26" t="s">
        <v>86</v>
      </c>
      <c r="Y26" t="s">
        <v>309</v>
      </c>
      <c r="Z26" t="s">
        <v>88</v>
      </c>
      <c r="AA26" t="s">
        <v>89</v>
      </c>
      <c r="AB26">
        <v>1</v>
      </c>
      <c r="AC26">
        <v>0</v>
      </c>
      <c r="AD26">
        <v>2964000</v>
      </c>
      <c r="AE26" t="s">
        <v>90</v>
      </c>
      <c r="AF26">
        <v>4</v>
      </c>
      <c r="AG26">
        <v>0</v>
      </c>
      <c r="AH26" t="s">
        <v>53</v>
      </c>
      <c r="AI26" t="s">
        <v>72</v>
      </c>
      <c r="AJ26" t="s">
        <v>73</v>
      </c>
      <c r="AK26" t="s">
        <v>74</v>
      </c>
      <c r="AL26" t="s">
        <v>56</v>
      </c>
      <c r="AM26">
        <v>2</v>
      </c>
      <c r="AN26">
        <v>0</v>
      </c>
      <c r="AO26" t="s">
        <v>50</v>
      </c>
      <c r="AP26" s="4" t="s">
        <v>308</v>
      </c>
      <c r="AQ26" t="s">
        <v>82</v>
      </c>
      <c r="AR26" t="s">
        <v>57</v>
      </c>
      <c r="AS26" t="s">
        <v>307</v>
      </c>
      <c r="AT26">
        <v>2873500</v>
      </c>
      <c r="AU26" t="s">
        <v>54</v>
      </c>
      <c r="AV26">
        <v>2</v>
      </c>
    </row>
    <row r="27" spans="1:53" x14ac:dyDescent="0.3">
      <c r="A27" s="3" t="str">
        <f t="shared" si="0"/>
        <v>Sdr. Fruri Nuradim, S.T.</v>
      </c>
      <c r="B27" t="s">
        <v>310</v>
      </c>
      <c r="C27" t="s">
        <v>311</v>
      </c>
      <c r="D27" t="s">
        <v>78</v>
      </c>
      <c r="E27" t="s">
        <v>79</v>
      </c>
      <c r="F27" t="s">
        <v>80</v>
      </c>
      <c r="G27" t="s">
        <v>46</v>
      </c>
      <c r="H27">
        <v>3</v>
      </c>
      <c r="I27">
        <v>10</v>
      </c>
      <c r="J27" t="s">
        <v>985</v>
      </c>
      <c r="K27" t="s">
        <v>1011</v>
      </c>
      <c r="L27" t="s">
        <v>48</v>
      </c>
      <c r="N27" t="s">
        <v>49</v>
      </c>
      <c r="O27">
        <v>2873500</v>
      </c>
      <c r="P27" t="s">
        <v>82</v>
      </c>
      <c r="Q27" t="s">
        <v>83</v>
      </c>
      <c r="R27" t="s">
        <v>312</v>
      </c>
      <c r="S27" t="s">
        <v>85</v>
      </c>
      <c r="T27" t="s">
        <v>50</v>
      </c>
      <c r="U27">
        <v>2</v>
      </c>
      <c r="V27">
        <v>0</v>
      </c>
      <c r="W27">
        <v>2579400</v>
      </c>
      <c r="X27" t="s">
        <v>86</v>
      </c>
      <c r="Y27" t="s">
        <v>313</v>
      </c>
      <c r="Z27" t="s">
        <v>88</v>
      </c>
      <c r="AA27" t="s">
        <v>89</v>
      </c>
      <c r="AB27">
        <v>1</v>
      </c>
      <c r="AC27">
        <v>0</v>
      </c>
      <c r="AD27">
        <v>2964000</v>
      </c>
      <c r="AE27" t="s">
        <v>90</v>
      </c>
      <c r="AF27">
        <v>4</v>
      </c>
      <c r="AG27">
        <v>0</v>
      </c>
      <c r="AH27" t="s">
        <v>53</v>
      </c>
      <c r="AI27" t="s">
        <v>72</v>
      </c>
      <c r="AJ27" t="s">
        <v>73</v>
      </c>
      <c r="AK27" t="s">
        <v>74</v>
      </c>
      <c r="AL27" t="s">
        <v>56</v>
      </c>
      <c r="AM27">
        <v>2</v>
      </c>
      <c r="AN27">
        <v>0</v>
      </c>
      <c r="AO27" t="s">
        <v>50</v>
      </c>
      <c r="AP27" s="4" t="s">
        <v>85</v>
      </c>
      <c r="AQ27" t="s">
        <v>82</v>
      </c>
      <c r="AR27" t="s">
        <v>57</v>
      </c>
      <c r="AS27" t="s">
        <v>312</v>
      </c>
      <c r="AT27">
        <v>2873500</v>
      </c>
      <c r="AU27" t="s">
        <v>83</v>
      </c>
      <c r="AV27">
        <v>2</v>
      </c>
    </row>
    <row r="28" spans="1:53" x14ac:dyDescent="0.3">
      <c r="A28" s="3" t="str">
        <f t="shared" si="0"/>
        <v>Sdr. Ifon Robi Kurniadi, S.Tr.T</v>
      </c>
      <c r="B28" t="s">
        <v>314</v>
      </c>
      <c r="C28" t="s">
        <v>315</v>
      </c>
      <c r="D28" t="s">
        <v>78</v>
      </c>
      <c r="E28" t="s">
        <v>79</v>
      </c>
      <c r="F28" t="s">
        <v>80</v>
      </c>
      <c r="G28" t="s">
        <v>46</v>
      </c>
      <c r="H28">
        <v>3</v>
      </c>
      <c r="I28">
        <v>10</v>
      </c>
      <c r="J28" t="s">
        <v>985</v>
      </c>
      <c r="K28" t="s">
        <v>1012</v>
      </c>
      <c r="L28" t="s">
        <v>48</v>
      </c>
      <c r="N28" t="s">
        <v>49</v>
      </c>
      <c r="O28">
        <v>2873500</v>
      </c>
      <c r="P28" t="s">
        <v>82</v>
      </c>
      <c r="Q28" t="s">
        <v>155</v>
      </c>
      <c r="R28" t="s">
        <v>316</v>
      </c>
      <c r="S28" t="s">
        <v>231</v>
      </c>
      <c r="T28" t="s">
        <v>50</v>
      </c>
      <c r="U28">
        <v>2</v>
      </c>
      <c r="V28">
        <v>0</v>
      </c>
      <c r="W28">
        <v>2579400</v>
      </c>
      <c r="X28" t="s">
        <v>86</v>
      </c>
      <c r="Y28" t="s">
        <v>317</v>
      </c>
      <c r="Z28" t="s">
        <v>88</v>
      </c>
      <c r="AA28" t="s">
        <v>89</v>
      </c>
      <c r="AB28">
        <v>1</v>
      </c>
      <c r="AC28">
        <v>0</v>
      </c>
      <c r="AD28">
        <v>2964000</v>
      </c>
      <c r="AE28" t="s">
        <v>90</v>
      </c>
      <c r="AF28">
        <v>4</v>
      </c>
      <c r="AG28">
        <v>0</v>
      </c>
      <c r="AH28" t="s">
        <v>53</v>
      </c>
      <c r="AI28" t="s">
        <v>72</v>
      </c>
      <c r="AJ28" t="s">
        <v>73</v>
      </c>
      <c r="AK28" t="s">
        <v>74</v>
      </c>
      <c r="AL28" t="s">
        <v>56</v>
      </c>
      <c r="AM28">
        <v>2</v>
      </c>
      <c r="AN28">
        <v>0</v>
      </c>
      <c r="AO28" t="s">
        <v>50</v>
      </c>
      <c r="AP28" s="4" t="s">
        <v>231</v>
      </c>
      <c r="AQ28" t="s">
        <v>82</v>
      </c>
      <c r="AR28" t="s">
        <v>57</v>
      </c>
      <c r="AS28" t="s">
        <v>316</v>
      </c>
      <c r="AT28">
        <v>2873500</v>
      </c>
      <c r="AU28" t="s">
        <v>83</v>
      </c>
      <c r="AV28">
        <v>2</v>
      </c>
    </row>
    <row r="29" spans="1:53" x14ac:dyDescent="0.3">
      <c r="A29" s="3" t="str">
        <f t="shared" si="0"/>
        <v>Sdri. Rizka Yuliani, S.T.</v>
      </c>
      <c r="B29" t="s">
        <v>318</v>
      </c>
      <c r="C29" t="s">
        <v>319</v>
      </c>
      <c r="D29" t="s">
        <v>78</v>
      </c>
      <c r="E29" t="s">
        <v>79</v>
      </c>
      <c r="F29" t="s">
        <v>80</v>
      </c>
      <c r="G29" t="s">
        <v>46</v>
      </c>
      <c r="H29">
        <v>3</v>
      </c>
      <c r="I29">
        <v>10</v>
      </c>
      <c r="J29" t="s">
        <v>985</v>
      </c>
      <c r="K29" t="s">
        <v>1013</v>
      </c>
      <c r="L29" t="s">
        <v>81</v>
      </c>
      <c r="N29" t="s">
        <v>49</v>
      </c>
      <c r="O29">
        <v>2873500</v>
      </c>
      <c r="P29" t="s">
        <v>82</v>
      </c>
      <c r="Q29" t="s">
        <v>83</v>
      </c>
      <c r="R29" t="s">
        <v>320</v>
      </c>
      <c r="S29" t="s">
        <v>85</v>
      </c>
      <c r="T29" t="s">
        <v>50</v>
      </c>
      <c r="U29">
        <v>2</v>
      </c>
      <c r="V29">
        <v>0</v>
      </c>
      <c r="W29">
        <v>2579400</v>
      </c>
      <c r="X29" t="s">
        <v>86</v>
      </c>
      <c r="Y29" t="s">
        <v>321</v>
      </c>
      <c r="Z29" t="s">
        <v>88</v>
      </c>
      <c r="AA29" t="s">
        <v>89</v>
      </c>
      <c r="AB29">
        <v>1</v>
      </c>
      <c r="AC29">
        <v>0</v>
      </c>
      <c r="AD29">
        <v>2964000</v>
      </c>
      <c r="AE29" t="s">
        <v>90</v>
      </c>
      <c r="AF29">
        <v>4</v>
      </c>
      <c r="AG29">
        <v>0</v>
      </c>
      <c r="AH29" t="s">
        <v>53</v>
      </c>
      <c r="AI29" t="s">
        <v>72</v>
      </c>
      <c r="AJ29" t="s">
        <v>73</v>
      </c>
      <c r="AK29" t="s">
        <v>74</v>
      </c>
      <c r="AL29" t="s">
        <v>56</v>
      </c>
      <c r="AM29">
        <v>2</v>
      </c>
      <c r="AN29">
        <v>0</v>
      </c>
      <c r="AO29" t="s">
        <v>50</v>
      </c>
      <c r="AP29" s="4" t="s">
        <v>85</v>
      </c>
      <c r="AQ29" t="s">
        <v>82</v>
      </c>
      <c r="AR29" t="s">
        <v>57</v>
      </c>
      <c r="AS29" t="s">
        <v>320</v>
      </c>
      <c r="AT29">
        <v>2873500</v>
      </c>
      <c r="AU29" t="s">
        <v>83</v>
      </c>
      <c r="AV29">
        <v>2</v>
      </c>
    </row>
    <row r="30" spans="1:53" x14ac:dyDescent="0.3">
      <c r="A30" s="3" t="str">
        <f t="shared" si="0"/>
        <v>Sdri. Zulaikha Putri Pertiwi, S.Tr.T</v>
      </c>
      <c r="B30" t="s">
        <v>322</v>
      </c>
      <c r="C30" t="s">
        <v>323</v>
      </c>
      <c r="D30" t="s">
        <v>78</v>
      </c>
      <c r="E30" t="s">
        <v>79</v>
      </c>
      <c r="F30" t="s">
        <v>80</v>
      </c>
      <c r="G30" t="s">
        <v>46</v>
      </c>
      <c r="H30">
        <v>3</v>
      </c>
      <c r="I30">
        <v>10</v>
      </c>
      <c r="J30" t="s">
        <v>985</v>
      </c>
      <c r="K30" t="s">
        <v>1014</v>
      </c>
      <c r="L30" t="s">
        <v>81</v>
      </c>
      <c r="N30" t="s">
        <v>49</v>
      </c>
      <c r="O30">
        <v>2873500</v>
      </c>
      <c r="P30" t="s">
        <v>82</v>
      </c>
      <c r="Q30" t="s">
        <v>83</v>
      </c>
      <c r="R30" t="s">
        <v>324</v>
      </c>
      <c r="S30" t="s">
        <v>85</v>
      </c>
      <c r="T30" t="s">
        <v>50</v>
      </c>
      <c r="U30">
        <v>2</v>
      </c>
      <c r="V30">
        <v>0</v>
      </c>
      <c r="W30">
        <v>2579400</v>
      </c>
      <c r="X30" t="s">
        <v>86</v>
      </c>
      <c r="Y30" t="s">
        <v>325</v>
      </c>
      <c r="Z30" t="s">
        <v>88</v>
      </c>
      <c r="AA30" t="s">
        <v>89</v>
      </c>
      <c r="AB30">
        <v>1</v>
      </c>
      <c r="AC30">
        <v>0</v>
      </c>
      <c r="AD30">
        <v>2964000</v>
      </c>
      <c r="AE30" t="s">
        <v>90</v>
      </c>
      <c r="AF30">
        <v>4</v>
      </c>
      <c r="AG30">
        <v>0</v>
      </c>
      <c r="AH30" t="s">
        <v>53</v>
      </c>
      <c r="AI30" t="s">
        <v>72</v>
      </c>
      <c r="AJ30" t="s">
        <v>73</v>
      </c>
      <c r="AK30" t="s">
        <v>74</v>
      </c>
      <c r="AL30" t="s">
        <v>56</v>
      </c>
      <c r="AM30">
        <v>2</v>
      </c>
      <c r="AN30">
        <v>0</v>
      </c>
      <c r="AO30" t="s">
        <v>50</v>
      </c>
      <c r="AP30" s="4" t="s">
        <v>85</v>
      </c>
      <c r="AQ30" t="s">
        <v>82</v>
      </c>
      <c r="AR30" t="s">
        <v>57</v>
      </c>
      <c r="AS30" t="s">
        <v>324</v>
      </c>
      <c r="AT30">
        <v>2873500</v>
      </c>
      <c r="AU30" t="s">
        <v>83</v>
      </c>
      <c r="AV30">
        <v>2</v>
      </c>
    </row>
    <row r="31" spans="1:53" x14ac:dyDescent="0.3">
      <c r="A31" s="3" t="str">
        <f t="shared" si="0"/>
        <v>Sdr. Yuniar Catur Putra Setia, S.T.</v>
      </c>
      <c r="B31" t="s">
        <v>326</v>
      </c>
      <c r="C31" t="s">
        <v>327</v>
      </c>
      <c r="D31" t="s">
        <v>78</v>
      </c>
      <c r="E31" t="s">
        <v>79</v>
      </c>
      <c r="F31" t="s">
        <v>80</v>
      </c>
      <c r="G31" t="s">
        <v>328</v>
      </c>
      <c r="H31">
        <v>3</v>
      </c>
      <c r="I31">
        <v>10</v>
      </c>
      <c r="J31" t="s">
        <v>985</v>
      </c>
      <c r="K31" t="s">
        <v>1015</v>
      </c>
      <c r="L31" t="s">
        <v>48</v>
      </c>
      <c r="N31" t="s">
        <v>329</v>
      </c>
      <c r="O31">
        <v>2873500</v>
      </c>
      <c r="P31" t="s">
        <v>82</v>
      </c>
      <c r="Q31" t="s">
        <v>83</v>
      </c>
      <c r="R31" t="s">
        <v>330</v>
      </c>
      <c r="S31" t="s">
        <v>85</v>
      </c>
      <c r="T31" t="s">
        <v>50</v>
      </c>
      <c r="U31">
        <v>2</v>
      </c>
      <c r="V31">
        <v>0</v>
      </c>
      <c r="W31">
        <v>2579400</v>
      </c>
      <c r="X31" t="s">
        <v>86</v>
      </c>
      <c r="Y31" t="s">
        <v>331</v>
      </c>
      <c r="Z31" t="s">
        <v>88</v>
      </c>
      <c r="AA31" t="s">
        <v>89</v>
      </c>
      <c r="AB31">
        <v>1</v>
      </c>
      <c r="AC31">
        <v>0</v>
      </c>
      <c r="AD31">
        <v>2964000</v>
      </c>
      <c r="AE31" t="s">
        <v>90</v>
      </c>
      <c r="AF31">
        <v>4</v>
      </c>
      <c r="AG31">
        <v>0</v>
      </c>
      <c r="AH31" t="s">
        <v>53</v>
      </c>
      <c r="AI31" t="s">
        <v>72</v>
      </c>
      <c r="AJ31" t="s">
        <v>73</v>
      </c>
      <c r="AK31" t="s">
        <v>74</v>
      </c>
      <c r="AL31" t="s">
        <v>56</v>
      </c>
      <c r="AM31">
        <v>2</v>
      </c>
      <c r="AN31">
        <v>0</v>
      </c>
      <c r="AO31" t="s">
        <v>50</v>
      </c>
      <c r="AP31" s="4" t="s">
        <v>85</v>
      </c>
      <c r="AQ31" t="s">
        <v>82</v>
      </c>
      <c r="AR31" t="s">
        <v>57</v>
      </c>
      <c r="AS31" t="s">
        <v>330</v>
      </c>
      <c r="AT31">
        <v>2873500</v>
      </c>
      <c r="AU31" t="s">
        <v>83</v>
      </c>
      <c r="AV31">
        <v>2</v>
      </c>
    </row>
    <row r="32" spans="1:53" s="3" customFormat="1" x14ac:dyDescent="0.3">
      <c r="A32" s="3" t="str">
        <f t="shared" si="0"/>
        <v>Sdr. Andrean Wahyu Purbo Leksono, S.T.</v>
      </c>
      <c r="B32" t="s">
        <v>332</v>
      </c>
      <c r="C32" t="s">
        <v>333</v>
      </c>
      <c r="D32" t="s">
        <v>78</v>
      </c>
      <c r="E32" t="s">
        <v>79</v>
      </c>
      <c r="F32" t="s">
        <v>80</v>
      </c>
      <c r="G32" t="s">
        <v>334</v>
      </c>
      <c r="H32">
        <v>3</v>
      </c>
      <c r="I32">
        <v>10</v>
      </c>
      <c r="J32" t="s">
        <v>985</v>
      </c>
      <c r="K32" t="s">
        <v>1016</v>
      </c>
      <c r="L32" t="s">
        <v>48</v>
      </c>
      <c r="M32"/>
      <c r="N32" t="s">
        <v>335</v>
      </c>
      <c r="O32">
        <v>2873500</v>
      </c>
      <c r="P32" t="s">
        <v>82</v>
      </c>
      <c r="Q32" t="s">
        <v>83</v>
      </c>
      <c r="R32" t="s">
        <v>336</v>
      </c>
      <c r="S32" t="s">
        <v>85</v>
      </c>
      <c r="T32" t="s">
        <v>50</v>
      </c>
      <c r="U32">
        <v>2</v>
      </c>
      <c r="V32">
        <v>0</v>
      </c>
      <c r="W32">
        <v>2579400</v>
      </c>
      <c r="X32" t="s">
        <v>86</v>
      </c>
      <c r="Y32" t="s">
        <v>337</v>
      </c>
      <c r="Z32" t="s">
        <v>88</v>
      </c>
      <c r="AA32" t="s">
        <v>89</v>
      </c>
      <c r="AB32">
        <v>1</v>
      </c>
      <c r="AC32">
        <v>0</v>
      </c>
      <c r="AD32">
        <v>2964000</v>
      </c>
      <c r="AE32" t="s">
        <v>90</v>
      </c>
      <c r="AF32">
        <v>4</v>
      </c>
      <c r="AG32">
        <v>0</v>
      </c>
      <c r="AH32" t="s">
        <v>53</v>
      </c>
      <c r="AI32" t="s">
        <v>72</v>
      </c>
      <c r="AJ32" t="s">
        <v>73</v>
      </c>
      <c r="AK32" t="s">
        <v>74</v>
      </c>
      <c r="AL32" t="s">
        <v>56</v>
      </c>
      <c r="AM32">
        <v>2</v>
      </c>
      <c r="AN32">
        <v>0</v>
      </c>
      <c r="AO32" t="s">
        <v>50</v>
      </c>
      <c r="AP32" s="4" t="s">
        <v>85</v>
      </c>
      <c r="AQ32" t="s">
        <v>82</v>
      </c>
      <c r="AR32" t="s">
        <v>57</v>
      </c>
      <c r="AS32" t="s">
        <v>336</v>
      </c>
      <c r="AT32">
        <v>2873500</v>
      </c>
      <c r="AU32" t="s">
        <v>83</v>
      </c>
      <c r="AV32">
        <v>2</v>
      </c>
      <c r="AX32"/>
      <c r="AY32"/>
      <c r="BA32" s="10"/>
    </row>
    <row r="33" spans="1:53" s="3" customFormat="1" x14ac:dyDescent="0.3">
      <c r="A33" s="3" t="str">
        <f t="shared" si="0"/>
        <v>Sdr. Bagus Rahmad Hidayat, S.T.</v>
      </c>
      <c r="B33" t="s">
        <v>338</v>
      </c>
      <c r="C33" t="s">
        <v>339</v>
      </c>
      <c r="D33" t="s">
        <v>78</v>
      </c>
      <c r="E33" t="s">
        <v>79</v>
      </c>
      <c r="F33" t="s">
        <v>80</v>
      </c>
      <c r="G33" t="s">
        <v>334</v>
      </c>
      <c r="H33">
        <v>3</v>
      </c>
      <c r="I33">
        <v>10</v>
      </c>
      <c r="J33" t="s">
        <v>985</v>
      </c>
      <c r="K33" t="s">
        <v>1017</v>
      </c>
      <c r="L33" t="s">
        <v>48</v>
      </c>
      <c r="M33"/>
      <c r="N33" t="s">
        <v>335</v>
      </c>
      <c r="O33">
        <v>2873500</v>
      </c>
      <c r="P33" t="s">
        <v>82</v>
      </c>
      <c r="Q33" t="s">
        <v>340</v>
      </c>
      <c r="R33" t="s">
        <v>341</v>
      </c>
      <c r="S33" t="s">
        <v>342</v>
      </c>
      <c r="T33" t="s">
        <v>50</v>
      </c>
      <c r="U33">
        <v>2</v>
      </c>
      <c r="V33">
        <v>0</v>
      </c>
      <c r="W33">
        <v>2579400</v>
      </c>
      <c r="X33" t="s">
        <v>86</v>
      </c>
      <c r="Y33" t="s">
        <v>343</v>
      </c>
      <c r="Z33" t="s">
        <v>88</v>
      </c>
      <c r="AA33" t="s">
        <v>89</v>
      </c>
      <c r="AB33">
        <v>1</v>
      </c>
      <c r="AC33">
        <v>0</v>
      </c>
      <c r="AD33">
        <v>2964000</v>
      </c>
      <c r="AE33" t="s">
        <v>90</v>
      </c>
      <c r="AF33">
        <v>4</v>
      </c>
      <c r="AG33">
        <v>0</v>
      </c>
      <c r="AH33" t="s">
        <v>53</v>
      </c>
      <c r="AI33" t="s">
        <v>72</v>
      </c>
      <c r="AJ33" t="s">
        <v>73</v>
      </c>
      <c r="AK33" t="s">
        <v>74</v>
      </c>
      <c r="AL33" t="s">
        <v>56</v>
      </c>
      <c r="AM33">
        <v>2</v>
      </c>
      <c r="AN33">
        <v>0</v>
      </c>
      <c r="AO33" t="s">
        <v>50</v>
      </c>
      <c r="AP33" s="4" t="s">
        <v>342</v>
      </c>
      <c r="AQ33" t="s">
        <v>82</v>
      </c>
      <c r="AR33" t="s">
        <v>57</v>
      </c>
      <c r="AS33" t="s">
        <v>341</v>
      </c>
      <c r="AT33">
        <v>2873500</v>
      </c>
      <c r="AU33" t="s">
        <v>83</v>
      </c>
      <c r="AV33">
        <v>2</v>
      </c>
      <c r="AX33"/>
      <c r="AY33"/>
      <c r="BA33" s="10"/>
    </row>
    <row r="34" spans="1:53" s="3" customFormat="1" x14ac:dyDescent="0.3">
      <c r="A34" s="3" t="str">
        <f t="shared" si="0"/>
        <v>Sdri. Novin Agustina Nur Putri, S.ST.</v>
      </c>
      <c r="B34" t="s">
        <v>344</v>
      </c>
      <c r="C34" t="s">
        <v>345</v>
      </c>
      <c r="D34" t="s">
        <v>78</v>
      </c>
      <c r="E34" t="s">
        <v>79</v>
      </c>
      <c r="F34" t="s">
        <v>80</v>
      </c>
      <c r="G34" t="s">
        <v>334</v>
      </c>
      <c r="H34">
        <v>3</v>
      </c>
      <c r="I34">
        <v>10</v>
      </c>
      <c r="J34" t="s">
        <v>985</v>
      </c>
      <c r="K34" t="s">
        <v>1018</v>
      </c>
      <c r="L34" t="s">
        <v>81</v>
      </c>
      <c r="M34"/>
      <c r="N34" t="s">
        <v>335</v>
      </c>
      <c r="O34">
        <v>2873500</v>
      </c>
      <c r="P34" t="s">
        <v>82</v>
      </c>
      <c r="Q34" t="s">
        <v>83</v>
      </c>
      <c r="R34" t="s">
        <v>346</v>
      </c>
      <c r="S34" t="s">
        <v>85</v>
      </c>
      <c r="T34" t="s">
        <v>50</v>
      </c>
      <c r="U34">
        <v>2</v>
      </c>
      <c r="V34">
        <v>0</v>
      </c>
      <c r="W34">
        <v>2579400</v>
      </c>
      <c r="X34" t="s">
        <v>86</v>
      </c>
      <c r="Y34" t="s">
        <v>347</v>
      </c>
      <c r="Z34" t="s">
        <v>88</v>
      </c>
      <c r="AA34" t="s">
        <v>89</v>
      </c>
      <c r="AB34">
        <v>1</v>
      </c>
      <c r="AC34">
        <v>0</v>
      </c>
      <c r="AD34">
        <v>2964000</v>
      </c>
      <c r="AE34" t="s">
        <v>90</v>
      </c>
      <c r="AF34">
        <v>4</v>
      </c>
      <c r="AG34">
        <v>0</v>
      </c>
      <c r="AH34" t="s">
        <v>53</v>
      </c>
      <c r="AI34" t="s">
        <v>72</v>
      </c>
      <c r="AJ34" t="s">
        <v>73</v>
      </c>
      <c r="AK34" t="s">
        <v>74</v>
      </c>
      <c r="AL34" t="s">
        <v>56</v>
      </c>
      <c r="AM34">
        <v>2</v>
      </c>
      <c r="AN34">
        <v>0</v>
      </c>
      <c r="AO34" t="s">
        <v>50</v>
      </c>
      <c r="AP34" s="4" t="s">
        <v>85</v>
      </c>
      <c r="AQ34" t="s">
        <v>82</v>
      </c>
      <c r="AR34" t="s">
        <v>57</v>
      </c>
      <c r="AS34" t="s">
        <v>346</v>
      </c>
      <c r="AT34">
        <v>2873500</v>
      </c>
      <c r="AU34" t="s">
        <v>83</v>
      </c>
      <c r="AV34">
        <v>2</v>
      </c>
      <c r="AX34"/>
      <c r="AY34"/>
      <c r="BA34" s="10"/>
    </row>
    <row r="35" spans="1:53" s="3" customFormat="1" x14ac:dyDescent="0.3">
      <c r="A35" s="3" t="str">
        <f t="shared" si="0"/>
        <v>Sdr. Faizal Akbar Maulana, S.T.</v>
      </c>
      <c r="B35" t="s">
        <v>348</v>
      </c>
      <c r="C35" t="s">
        <v>349</v>
      </c>
      <c r="D35" t="s">
        <v>78</v>
      </c>
      <c r="E35" t="s">
        <v>79</v>
      </c>
      <c r="F35" t="s">
        <v>80</v>
      </c>
      <c r="G35" t="s">
        <v>350</v>
      </c>
      <c r="H35">
        <v>3</v>
      </c>
      <c r="I35">
        <v>10</v>
      </c>
      <c r="J35" t="s">
        <v>985</v>
      </c>
      <c r="K35" t="s">
        <v>1019</v>
      </c>
      <c r="L35" t="s">
        <v>48</v>
      </c>
      <c r="M35"/>
      <c r="N35" t="s">
        <v>351</v>
      </c>
      <c r="O35">
        <v>2873500</v>
      </c>
      <c r="P35" t="s">
        <v>82</v>
      </c>
      <c r="Q35" t="s">
        <v>83</v>
      </c>
      <c r="R35" t="s">
        <v>352</v>
      </c>
      <c r="S35" t="s">
        <v>129</v>
      </c>
      <c r="T35" t="s">
        <v>50</v>
      </c>
      <c r="U35">
        <v>2</v>
      </c>
      <c r="V35">
        <v>0</v>
      </c>
      <c r="W35">
        <v>2579400</v>
      </c>
      <c r="X35" t="s">
        <v>86</v>
      </c>
      <c r="Y35" t="s">
        <v>353</v>
      </c>
      <c r="Z35" t="s">
        <v>88</v>
      </c>
      <c r="AA35" t="s">
        <v>89</v>
      </c>
      <c r="AB35">
        <v>1</v>
      </c>
      <c r="AC35">
        <v>0</v>
      </c>
      <c r="AD35">
        <v>2964000</v>
      </c>
      <c r="AE35" t="s">
        <v>90</v>
      </c>
      <c r="AF35">
        <v>4</v>
      </c>
      <c r="AG35">
        <v>0</v>
      </c>
      <c r="AH35" t="s">
        <v>53</v>
      </c>
      <c r="AI35" t="s">
        <v>72</v>
      </c>
      <c r="AJ35" t="s">
        <v>73</v>
      </c>
      <c r="AK35" t="s">
        <v>74</v>
      </c>
      <c r="AL35" t="s">
        <v>56</v>
      </c>
      <c r="AM35">
        <v>2</v>
      </c>
      <c r="AN35">
        <v>0</v>
      </c>
      <c r="AO35" t="s">
        <v>50</v>
      </c>
      <c r="AP35" s="4" t="s">
        <v>129</v>
      </c>
      <c r="AQ35" t="s">
        <v>82</v>
      </c>
      <c r="AR35" t="s">
        <v>57</v>
      </c>
      <c r="AS35" t="s">
        <v>352</v>
      </c>
      <c r="AT35">
        <v>2873500</v>
      </c>
      <c r="AU35" t="s">
        <v>83</v>
      </c>
      <c r="AV35">
        <v>2</v>
      </c>
      <c r="AX35"/>
      <c r="AY35"/>
      <c r="BA35" s="10"/>
    </row>
    <row r="36" spans="1:53" s="3" customFormat="1" x14ac:dyDescent="0.3">
      <c r="A36" s="3" t="str">
        <f t="shared" si="0"/>
        <v>Sdr. Yuda Ariza Ferdian Dm, S.T.</v>
      </c>
      <c r="B36" t="s">
        <v>354</v>
      </c>
      <c r="C36" t="s">
        <v>355</v>
      </c>
      <c r="D36" t="s">
        <v>78</v>
      </c>
      <c r="E36" t="s">
        <v>79</v>
      </c>
      <c r="F36" t="s">
        <v>80</v>
      </c>
      <c r="G36" t="s">
        <v>350</v>
      </c>
      <c r="H36">
        <v>3</v>
      </c>
      <c r="I36">
        <v>10</v>
      </c>
      <c r="J36" t="s">
        <v>985</v>
      </c>
      <c r="K36" t="s">
        <v>1020</v>
      </c>
      <c r="L36" t="s">
        <v>48</v>
      </c>
      <c r="M36"/>
      <c r="N36" t="s">
        <v>351</v>
      </c>
      <c r="O36">
        <v>2873500</v>
      </c>
      <c r="P36" t="s">
        <v>82</v>
      </c>
      <c r="Q36" t="s">
        <v>83</v>
      </c>
      <c r="R36" t="s">
        <v>356</v>
      </c>
      <c r="S36" t="s">
        <v>129</v>
      </c>
      <c r="T36" t="s">
        <v>50</v>
      </c>
      <c r="U36">
        <v>2</v>
      </c>
      <c r="V36">
        <v>0</v>
      </c>
      <c r="W36">
        <v>2579400</v>
      </c>
      <c r="X36" t="s">
        <v>86</v>
      </c>
      <c r="Y36" t="s">
        <v>357</v>
      </c>
      <c r="Z36" t="s">
        <v>88</v>
      </c>
      <c r="AA36" t="s">
        <v>89</v>
      </c>
      <c r="AB36">
        <v>1</v>
      </c>
      <c r="AC36">
        <v>0</v>
      </c>
      <c r="AD36">
        <v>2964000</v>
      </c>
      <c r="AE36" t="s">
        <v>90</v>
      </c>
      <c r="AF36">
        <v>4</v>
      </c>
      <c r="AG36">
        <v>0</v>
      </c>
      <c r="AH36" t="s">
        <v>53</v>
      </c>
      <c r="AI36" t="s">
        <v>72</v>
      </c>
      <c r="AJ36" t="s">
        <v>73</v>
      </c>
      <c r="AK36" t="s">
        <v>74</v>
      </c>
      <c r="AL36" t="s">
        <v>56</v>
      </c>
      <c r="AM36">
        <v>2</v>
      </c>
      <c r="AN36">
        <v>0</v>
      </c>
      <c r="AO36" t="s">
        <v>50</v>
      </c>
      <c r="AP36" s="4" t="s">
        <v>129</v>
      </c>
      <c r="AQ36" t="s">
        <v>82</v>
      </c>
      <c r="AR36" t="s">
        <v>57</v>
      </c>
      <c r="AS36" t="s">
        <v>356</v>
      </c>
      <c r="AT36">
        <v>2873500</v>
      </c>
      <c r="AU36" t="s">
        <v>83</v>
      </c>
      <c r="AV36">
        <v>2</v>
      </c>
      <c r="AX36"/>
      <c r="AY36"/>
      <c r="BA36" s="10"/>
    </row>
    <row r="37" spans="1:53" s="3" customFormat="1" x14ac:dyDescent="0.3">
      <c r="A37" s="3" t="str">
        <f t="shared" si="0"/>
        <v>Sdr. Muhammad Ridhwan Clausthiawan, S.T.</v>
      </c>
      <c r="B37" t="s">
        <v>358</v>
      </c>
      <c r="C37" t="s">
        <v>359</v>
      </c>
      <c r="D37" t="s">
        <v>78</v>
      </c>
      <c r="E37" t="s">
        <v>79</v>
      </c>
      <c r="F37" t="s">
        <v>80</v>
      </c>
      <c r="G37" t="s">
        <v>360</v>
      </c>
      <c r="H37">
        <v>3</v>
      </c>
      <c r="I37">
        <v>10</v>
      </c>
      <c r="J37" t="s">
        <v>985</v>
      </c>
      <c r="K37" t="s">
        <v>1021</v>
      </c>
      <c r="L37" t="s">
        <v>48</v>
      </c>
      <c r="M37"/>
      <c r="N37" t="s">
        <v>361</v>
      </c>
      <c r="O37">
        <v>2873500</v>
      </c>
      <c r="P37" t="s">
        <v>82</v>
      </c>
      <c r="Q37" t="s">
        <v>83</v>
      </c>
      <c r="R37" t="s">
        <v>362</v>
      </c>
      <c r="S37" t="s">
        <v>129</v>
      </c>
      <c r="T37" t="s">
        <v>50</v>
      </c>
      <c r="U37">
        <v>2</v>
      </c>
      <c r="V37">
        <v>0</v>
      </c>
      <c r="W37">
        <v>2579400</v>
      </c>
      <c r="X37" t="s">
        <v>86</v>
      </c>
      <c r="Y37" t="s">
        <v>363</v>
      </c>
      <c r="Z37" t="s">
        <v>88</v>
      </c>
      <c r="AA37" t="s">
        <v>89</v>
      </c>
      <c r="AB37">
        <v>1</v>
      </c>
      <c r="AC37">
        <v>0</v>
      </c>
      <c r="AD37">
        <v>2964000</v>
      </c>
      <c r="AE37" t="s">
        <v>90</v>
      </c>
      <c r="AF37">
        <v>4</v>
      </c>
      <c r="AG37">
        <v>0</v>
      </c>
      <c r="AH37" t="s">
        <v>53</v>
      </c>
      <c r="AI37" t="s">
        <v>72</v>
      </c>
      <c r="AJ37" t="s">
        <v>73</v>
      </c>
      <c r="AK37" t="s">
        <v>74</v>
      </c>
      <c r="AL37" t="s">
        <v>56</v>
      </c>
      <c r="AM37">
        <v>2</v>
      </c>
      <c r="AN37">
        <v>0</v>
      </c>
      <c r="AO37" t="s">
        <v>50</v>
      </c>
      <c r="AP37" s="4" t="s">
        <v>129</v>
      </c>
      <c r="AQ37" t="s">
        <v>82</v>
      </c>
      <c r="AR37" t="s">
        <v>57</v>
      </c>
      <c r="AS37" t="s">
        <v>362</v>
      </c>
      <c r="AT37">
        <v>2873500</v>
      </c>
      <c r="AU37" t="s">
        <v>83</v>
      </c>
      <c r="AV37">
        <v>2</v>
      </c>
      <c r="AX37"/>
      <c r="AY37"/>
      <c r="BA37" s="10"/>
    </row>
    <row r="38" spans="1:53" s="3" customFormat="1" x14ac:dyDescent="0.3">
      <c r="A38" s="3" t="str">
        <f t="shared" si="0"/>
        <v>Sdr. Rama Adi Nugraha, S.T.</v>
      </c>
      <c r="B38" t="s">
        <v>364</v>
      </c>
      <c r="C38" t="s">
        <v>365</v>
      </c>
      <c r="D38" t="s">
        <v>78</v>
      </c>
      <c r="E38" t="s">
        <v>79</v>
      </c>
      <c r="F38" t="s">
        <v>80</v>
      </c>
      <c r="G38" t="s">
        <v>360</v>
      </c>
      <c r="H38">
        <v>3</v>
      </c>
      <c r="I38">
        <v>10</v>
      </c>
      <c r="J38" t="s">
        <v>985</v>
      </c>
      <c r="K38" t="s">
        <v>1022</v>
      </c>
      <c r="L38" t="s">
        <v>48</v>
      </c>
      <c r="M38"/>
      <c r="N38" t="s">
        <v>361</v>
      </c>
      <c r="O38">
        <v>2873500</v>
      </c>
      <c r="P38" t="s">
        <v>82</v>
      </c>
      <c r="Q38" t="s">
        <v>83</v>
      </c>
      <c r="R38" t="s">
        <v>366</v>
      </c>
      <c r="S38" t="s">
        <v>129</v>
      </c>
      <c r="T38" t="s">
        <v>50</v>
      </c>
      <c r="U38">
        <v>2</v>
      </c>
      <c r="V38">
        <v>0</v>
      </c>
      <c r="W38">
        <v>2579400</v>
      </c>
      <c r="X38" t="s">
        <v>86</v>
      </c>
      <c r="Y38" t="s">
        <v>367</v>
      </c>
      <c r="Z38" t="s">
        <v>88</v>
      </c>
      <c r="AA38" t="s">
        <v>89</v>
      </c>
      <c r="AB38">
        <v>1</v>
      </c>
      <c r="AC38">
        <v>0</v>
      </c>
      <c r="AD38">
        <v>2964000</v>
      </c>
      <c r="AE38" t="s">
        <v>90</v>
      </c>
      <c r="AF38">
        <v>4</v>
      </c>
      <c r="AG38">
        <v>0</v>
      </c>
      <c r="AH38" t="s">
        <v>53</v>
      </c>
      <c r="AI38" t="s">
        <v>72</v>
      </c>
      <c r="AJ38" t="s">
        <v>73</v>
      </c>
      <c r="AK38" t="s">
        <v>74</v>
      </c>
      <c r="AL38" t="s">
        <v>56</v>
      </c>
      <c r="AM38">
        <v>2</v>
      </c>
      <c r="AN38">
        <v>0</v>
      </c>
      <c r="AO38" t="s">
        <v>50</v>
      </c>
      <c r="AP38" s="4" t="s">
        <v>129</v>
      </c>
      <c r="AQ38" t="s">
        <v>82</v>
      </c>
      <c r="AR38" t="s">
        <v>57</v>
      </c>
      <c r="AS38" t="s">
        <v>366</v>
      </c>
      <c r="AT38">
        <v>2873500</v>
      </c>
      <c r="AU38" t="s">
        <v>83</v>
      </c>
      <c r="AV38">
        <v>2</v>
      </c>
      <c r="AX38"/>
      <c r="AY38"/>
      <c r="BA38" s="10"/>
    </row>
    <row r="39" spans="1:53" s="3" customFormat="1" x14ac:dyDescent="0.3">
      <c r="A39" s="3" t="str">
        <f t="shared" si="0"/>
        <v>Sdr. Raden Bagus Iqbal Rahmadianto, S.T.</v>
      </c>
      <c r="B39" t="s">
        <v>368</v>
      </c>
      <c r="C39" t="s">
        <v>369</v>
      </c>
      <c r="D39" t="s">
        <v>78</v>
      </c>
      <c r="E39" t="s">
        <v>79</v>
      </c>
      <c r="F39" t="s">
        <v>80</v>
      </c>
      <c r="G39" t="s">
        <v>370</v>
      </c>
      <c r="H39">
        <v>3</v>
      </c>
      <c r="I39">
        <v>10</v>
      </c>
      <c r="J39" t="s">
        <v>985</v>
      </c>
      <c r="K39" t="s">
        <v>1023</v>
      </c>
      <c r="L39" t="s">
        <v>48</v>
      </c>
      <c r="M39"/>
      <c r="N39" t="s">
        <v>371</v>
      </c>
      <c r="O39">
        <v>2873500</v>
      </c>
      <c r="P39" t="s">
        <v>82</v>
      </c>
      <c r="Q39" t="s">
        <v>83</v>
      </c>
      <c r="R39" t="s">
        <v>372</v>
      </c>
      <c r="S39" t="s">
        <v>129</v>
      </c>
      <c r="T39" t="s">
        <v>50</v>
      </c>
      <c r="U39">
        <v>2</v>
      </c>
      <c r="V39">
        <v>0</v>
      </c>
      <c r="W39">
        <v>2579400</v>
      </c>
      <c r="X39" t="s">
        <v>86</v>
      </c>
      <c r="Y39" t="s">
        <v>373</v>
      </c>
      <c r="Z39" t="s">
        <v>88</v>
      </c>
      <c r="AA39" t="s">
        <v>89</v>
      </c>
      <c r="AB39">
        <v>1</v>
      </c>
      <c r="AC39">
        <v>0</v>
      </c>
      <c r="AD39">
        <v>2964000</v>
      </c>
      <c r="AE39" t="s">
        <v>90</v>
      </c>
      <c r="AF39">
        <v>4</v>
      </c>
      <c r="AG39">
        <v>0</v>
      </c>
      <c r="AH39" t="s">
        <v>53</v>
      </c>
      <c r="AI39" t="s">
        <v>72</v>
      </c>
      <c r="AJ39" t="s">
        <v>73</v>
      </c>
      <c r="AK39" t="s">
        <v>74</v>
      </c>
      <c r="AL39" t="s">
        <v>56</v>
      </c>
      <c r="AM39">
        <v>2</v>
      </c>
      <c r="AN39">
        <v>0</v>
      </c>
      <c r="AO39" t="s">
        <v>50</v>
      </c>
      <c r="AP39" s="4" t="s">
        <v>129</v>
      </c>
      <c r="AQ39" t="s">
        <v>82</v>
      </c>
      <c r="AR39" t="s">
        <v>57</v>
      </c>
      <c r="AS39" t="s">
        <v>372</v>
      </c>
      <c r="AT39">
        <v>2873500</v>
      </c>
      <c r="AU39" t="s">
        <v>83</v>
      </c>
      <c r="AV39">
        <v>2</v>
      </c>
      <c r="AX39"/>
      <c r="AY39"/>
      <c r="BA39" s="10"/>
    </row>
    <row r="40" spans="1:53" s="3" customFormat="1" x14ac:dyDescent="0.3">
      <c r="A40" s="3" t="str">
        <f t="shared" si="0"/>
        <v>Sdri. Tutik Kusuma Wardani, S.S.T.</v>
      </c>
      <c r="B40" t="s">
        <v>374</v>
      </c>
      <c r="C40" t="s">
        <v>375</v>
      </c>
      <c r="D40" t="s">
        <v>78</v>
      </c>
      <c r="E40" t="s">
        <v>79</v>
      </c>
      <c r="F40" t="s">
        <v>80</v>
      </c>
      <c r="G40" t="s">
        <v>370</v>
      </c>
      <c r="H40">
        <v>3</v>
      </c>
      <c r="I40">
        <v>10</v>
      </c>
      <c r="J40" t="s">
        <v>985</v>
      </c>
      <c r="K40" t="s">
        <v>1024</v>
      </c>
      <c r="L40" t="s">
        <v>81</v>
      </c>
      <c r="M40"/>
      <c r="N40" t="s">
        <v>371</v>
      </c>
      <c r="O40">
        <v>2873500</v>
      </c>
      <c r="P40" t="s">
        <v>82</v>
      </c>
      <c r="Q40" t="s">
        <v>83</v>
      </c>
      <c r="R40" t="s">
        <v>376</v>
      </c>
      <c r="S40" t="s">
        <v>129</v>
      </c>
      <c r="T40" t="s">
        <v>50</v>
      </c>
      <c r="U40">
        <v>2</v>
      </c>
      <c r="V40">
        <v>0</v>
      </c>
      <c r="W40">
        <v>2579400</v>
      </c>
      <c r="X40" t="s">
        <v>86</v>
      </c>
      <c r="Y40" t="s">
        <v>377</v>
      </c>
      <c r="Z40" t="s">
        <v>88</v>
      </c>
      <c r="AA40" t="s">
        <v>89</v>
      </c>
      <c r="AB40">
        <v>1</v>
      </c>
      <c r="AC40">
        <v>0</v>
      </c>
      <c r="AD40">
        <v>2964000</v>
      </c>
      <c r="AE40" t="s">
        <v>90</v>
      </c>
      <c r="AF40">
        <v>4</v>
      </c>
      <c r="AG40">
        <v>0</v>
      </c>
      <c r="AH40" t="s">
        <v>53</v>
      </c>
      <c r="AI40" t="s">
        <v>72</v>
      </c>
      <c r="AJ40" t="s">
        <v>73</v>
      </c>
      <c r="AK40" t="s">
        <v>74</v>
      </c>
      <c r="AL40" t="s">
        <v>56</v>
      </c>
      <c r="AM40">
        <v>2</v>
      </c>
      <c r="AN40">
        <v>0</v>
      </c>
      <c r="AO40" t="s">
        <v>50</v>
      </c>
      <c r="AP40" s="4" t="s">
        <v>129</v>
      </c>
      <c r="AQ40" t="s">
        <v>82</v>
      </c>
      <c r="AR40" t="s">
        <v>57</v>
      </c>
      <c r="AS40" t="s">
        <v>376</v>
      </c>
      <c r="AT40">
        <v>2873500</v>
      </c>
      <c r="AU40" t="s">
        <v>83</v>
      </c>
      <c r="AV40">
        <v>2</v>
      </c>
      <c r="AX40"/>
      <c r="AY40"/>
      <c r="BA40" s="10"/>
    </row>
    <row r="41" spans="1:53" s="3" customFormat="1" x14ac:dyDescent="0.3">
      <c r="A41" s="3" t="str">
        <f t="shared" si="0"/>
        <v>Sdr. Yussandi Christria Adiprima, S.T.</v>
      </c>
      <c r="B41" t="s">
        <v>378</v>
      </c>
      <c r="C41" t="s">
        <v>379</v>
      </c>
      <c r="D41" t="s">
        <v>78</v>
      </c>
      <c r="E41" t="s">
        <v>79</v>
      </c>
      <c r="F41" t="s">
        <v>80</v>
      </c>
      <c r="G41" t="s">
        <v>370</v>
      </c>
      <c r="H41">
        <v>3</v>
      </c>
      <c r="I41">
        <v>10</v>
      </c>
      <c r="J41" t="s">
        <v>985</v>
      </c>
      <c r="K41" t="s">
        <v>1025</v>
      </c>
      <c r="L41" t="s">
        <v>48</v>
      </c>
      <c r="M41"/>
      <c r="N41" t="s">
        <v>371</v>
      </c>
      <c r="O41">
        <v>2873500</v>
      </c>
      <c r="P41" t="s">
        <v>82</v>
      </c>
      <c r="Q41" t="s">
        <v>83</v>
      </c>
      <c r="R41" t="s">
        <v>380</v>
      </c>
      <c r="S41" t="s">
        <v>129</v>
      </c>
      <c r="T41" t="s">
        <v>50</v>
      </c>
      <c r="U41">
        <v>2</v>
      </c>
      <c r="V41">
        <v>0</v>
      </c>
      <c r="W41">
        <v>2579400</v>
      </c>
      <c r="X41" t="s">
        <v>86</v>
      </c>
      <c r="Y41" t="s">
        <v>381</v>
      </c>
      <c r="Z41" t="s">
        <v>88</v>
      </c>
      <c r="AA41" t="s">
        <v>89</v>
      </c>
      <c r="AB41">
        <v>1</v>
      </c>
      <c r="AC41">
        <v>0</v>
      </c>
      <c r="AD41">
        <v>2964000</v>
      </c>
      <c r="AE41" t="s">
        <v>90</v>
      </c>
      <c r="AF41">
        <v>4</v>
      </c>
      <c r="AG41">
        <v>0</v>
      </c>
      <c r="AH41" t="s">
        <v>53</v>
      </c>
      <c r="AI41" t="s">
        <v>72</v>
      </c>
      <c r="AJ41" t="s">
        <v>73</v>
      </c>
      <c r="AK41" t="s">
        <v>74</v>
      </c>
      <c r="AL41" t="s">
        <v>56</v>
      </c>
      <c r="AM41">
        <v>2</v>
      </c>
      <c r="AN41">
        <v>0</v>
      </c>
      <c r="AO41" t="s">
        <v>50</v>
      </c>
      <c r="AP41" s="4" t="s">
        <v>129</v>
      </c>
      <c r="AQ41" t="s">
        <v>82</v>
      </c>
      <c r="AR41" t="s">
        <v>57</v>
      </c>
      <c r="AS41" t="s">
        <v>380</v>
      </c>
      <c r="AT41">
        <v>2873500</v>
      </c>
      <c r="AU41" t="s">
        <v>83</v>
      </c>
      <c r="AV41">
        <v>2</v>
      </c>
      <c r="AX41"/>
      <c r="AY41"/>
      <c r="BA41" s="10"/>
    </row>
    <row r="42" spans="1:53" s="3" customFormat="1" x14ac:dyDescent="0.3">
      <c r="A42" s="3" t="str">
        <f t="shared" si="0"/>
        <v>Sdr. Ragil Abdillah Fahim, S.Tr.T</v>
      </c>
      <c r="B42" t="s">
        <v>382</v>
      </c>
      <c r="C42" t="s">
        <v>383</v>
      </c>
      <c r="D42" t="s">
        <v>78</v>
      </c>
      <c r="E42" t="s">
        <v>79</v>
      </c>
      <c r="F42" t="s">
        <v>384</v>
      </c>
      <c r="G42" t="s">
        <v>385</v>
      </c>
      <c r="H42">
        <v>3</v>
      </c>
      <c r="I42">
        <v>10</v>
      </c>
      <c r="J42" t="s">
        <v>985</v>
      </c>
      <c r="K42" t="s">
        <v>1026</v>
      </c>
      <c r="L42" t="s">
        <v>48</v>
      </c>
      <c r="M42"/>
      <c r="N42" t="s">
        <v>386</v>
      </c>
      <c r="O42">
        <v>2873500</v>
      </c>
      <c r="P42" t="s">
        <v>82</v>
      </c>
      <c r="Q42" t="s">
        <v>83</v>
      </c>
      <c r="R42" t="s">
        <v>387</v>
      </c>
      <c r="S42" t="s">
        <v>129</v>
      </c>
      <c r="T42" t="s">
        <v>50</v>
      </c>
      <c r="U42">
        <v>2</v>
      </c>
      <c r="V42">
        <v>0</v>
      </c>
      <c r="W42">
        <v>2579400</v>
      </c>
      <c r="X42" t="s">
        <v>86</v>
      </c>
      <c r="Y42" t="s">
        <v>388</v>
      </c>
      <c r="Z42" t="s">
        <v>88</v>
      </c>
      <c r="AA42" t="s">
        <v>89</v>
      </c>
      <c r="AB42">
        <v>1</v>
      </c>
      <c r="AC42">
        <v>0</v>
      </c>
      <c r="AD42">
        <v>2964000</v>
      </c>
      <c r="AE42" t="s">
        <v>90</v>
      </c>
      <c r="AF42">
        <v>4</v>
      </c>
      <c r="AG42">
        <v>0</v>
      </c>
      <c r="AH42" t="s">
        <v>53</v>
      </c>
      <c r="AI42" t="s">
        <v>72</v>
      </c>
      <c r="AJ42" t="s">
        <v>73</v>
      </c>
      <c r="AK42" t="s">
        <v>74</v>
      </c>
      <c r="AL42" t="s">
        <v>56</v>
      </c>
      <c r="AM42">
        <v>2</v>
      </c>
      <c r="AN42">
        <v>0</v>
      </c>
      <c r="AO42" t="s">
        <v>50</v>
      </c>
      <c r="AP42" s="4" t="s">
        <v>129</v>
      </c>
      <c r="AQ42" t="s">
        <v>82</v>
      </c>
      <c r="AR42" t="s">
        <v>57</v>
      </c>
      <c r="AS42" t="s">
        <v>387</v>
      </c>
      <c r="AT42">
        <v>2873500</v>
      </c>
      <c r="AU42" t="s">
        <v>83</v>
      </c>
      <c r="AV42">
        <v>2</v>
      </c>
      <c r="AX42"/>
      <c r="AY42"/>
      <c r="BA42" s="10"/>
    </row>
    <row r="43" spans="1:53" s="3" customFormat="1" x14ac:dyDescent="0.3">
      <c r="A43" s="3" t="str">
        <f t="shared" si="0"/>
        <v>Sdr. Ir. Oksa Eberly, S.T.</v>
      </c>
      <c r="B43" t="s">
        <v>389</v>
      </c>
      <c r="C43" t="s">
        <v>390</v>
      </c>
      <c r="D43" t="s">
        <v>78</v>
      </c>
      <c r="E43" t="s">
        <v>79</v>
      </c>
      <c r="F43" t="s">
        <v>80</v>
      </c>
      <c r="G43" t="s">
        <v>391</v>
      </c>
      <c r="H43">
        <v>3</v>
      </c>
      <c r="I43">
        <v>10</v>
      </c>
      <c r="J43" t="s">
        <v>985</v>
      </c>
      <c r="K43" t="s">
        <v>1027</v>
      </c>
      <c r="L43" t="s">
        <v>48</v>
      </c>
      <c r="M43"/>
      <c r="N43" t="s">
        <v>392</v>
      </c>
      <c r="O43">
        <v>2873500</v>
      </c>
      <c r="P43" t="s">
        <v>82</v>
      </c>
      <c r="Q43" t="s">
        <v>83</v>
      </c>
      <c r="R43" t="s">
        <v>393</v>
      </c>
      <c r="S43" t="s">
        <v>129</v>
      </c>
      <c r="T43" t="s">
        <v>50</v>
      </c>
      <c r="U43">
        <v>2</v>
      </c>
      <c r="V43">
        <v>0</v>
      </c>
      <c r="W43">
        <v>2579400</v>
      </c>
      <c r="X43" t="s">
        <v>86</v>
      </c>
      <c r="Y43" t="s">
        <v>394</v>
      </c>
      <c r="Z43" t="s">
        <v>88</v>
      </c>
      <c r="AA43" t="s">
        <v>89</v>
      </c>
      <c r="AB43">
        <v>1</v>
      </c>
      <c r="AC43">
        <v>0</v>
      </c>
      <c r="AD43">
        <v>2964000</v>
      </c>
      <c r="AE43" t="s">
        <v>90</v>
      </c>
      <c r="AF43">
        <v>4</v>
      </c>
      <c r="AG43">
        <v>0</v>
      </c>
      <c r="AH43" t="s">
        <v>53</v>
      </c>
      <c r="AI43" t="s">
        <v>72</v>
      </c>
      <c r="AJ43" t="s">
        <v>73</v>
      </c>
      <c r="AK43" t="s">
        <v>74</v>
      </c>
      <c r="AL43" t="s">
        <v>56</v>
      </c>
      <c r="AM43">
        <v>2</v>
      </c>
      <c r="AN43">
        <v>0</v>
      </c>
      <c r="AO43" t="s">
        <v>50</v>
      </c>
      <c r="AP43" s="4" t="s">
        <v>129</v>
      </c>
      <c r="AQ43" t="s">
        <v>82</v>
      </c>
      <c r="AR43" t="s">
        <v>57</v>
      </c>
      <c r="AS43" t="s">
        <v>393</v>
      </c>
      <c r="AT43">
        <v>2873500</v>
      </c>
      <c r="AU43" t="s">
        <v>83</v>
      </c>
      <c r="AV43">
        <v>2</v>
      </c>
      <c r="AX43"/>
      <c r="AY43"/>
      <c r="BA43" s="10"/>
    </row>
    <row r="44" spans="1:53" s="3" customFormat="1" x14ac:dyDescent="0.3">
      <c r="A44" s="3" t="str">
        <f t="shared" si="0"/>
        <v>Sdr. Eka Pawitra Suta, S.T.</v>
      </c>
      <c r="B44" t="s">
        <v>395</v>
      </c>
      <c r="C44" t="s">
        <v>396</v>
      </c>
      <c r="D44" t="s">
        <v>78</v>
      </c>
      <c r="E44" t="s">
        <v>79</v>
      </c>
      <c r="F44" t="s">
        <v>80</v>
      </c>
      <c r="G44" t="s">
        <v>397</v>
      </c>
      <c r="H44">
        <v>3</v>
      </c>
      <c r="I44">
        <v>10</v>
      </c>
      <c r="J44" t="s">
        <v>985</v>
      </c>
      <c r="K44" t="s">
        <v>1028</v>
      </c>
      <c r="L44" t="s">
        <v>48</v>
      </c>
      <c r="M44"/>
      <c r="N44" t="s">
        <v>398</v>
      </c>
      <c r="O44">
        <v>2873500</v>
      </c>
      <c r="P44" t="s">
        <v>82</v>
      </c>
      <c r="Q44" t="s">
        <v>119</v>
      </c>
      <c r="R44" t="s">
        <v>352</v>
      </c>
      <c r="S44" t="s">
        <v>129</v>
      </c>
      <c r="T44" t="s">
        <v>50</v>
      </c>
      <c r="U44">
        <v>2</v>
      </c>
      <c r="V44">
        <v>0</v>
      </c>
      <c r="W44">
        <v>2579400</v>
      </c>
      <c r="X44" t="s">
        <v>86</v>
      </c>
      <c r="Y44" t="s">
        <v>399</v>
      </c>
      <c r="Z44" t="s">
        <v>88</v>
      </c>
      <c r="AA44" t="s">
        <v>89</v>
      </c>
      <c r="AB44">
        <v>1</v>
      </c>
      <c r="AC44">
        <v>0</v>
      </c>
      <c r="AD44">
        <v>2964000</v>
      </c>
      <c r="AE44" t="s">
        <v>90</v>
      </c>
      <c r="AF44">
        <v>4</v>
      </c>
      <c r="AG44">
        <v>0</v>
      </c>
      <c r="AH44" t="s">
        <v>53</v>
      </c>
      <c r="AI44" t="s">
        <v>72</v>
      </c>
      <c r="AJ44" t="s">
        <v>73</v>
      </c>
      <c r="AK44" t="s">
        <v>74</v>
      </c>
      <c r="AL44" t="s">
        <v>56</v>
      </c>
      <c r="AM44">
        <v>2</v>
      </c>
      <c r="AN44">
        <v>0</v>
      </c>
      <c r="AO44" t="s">
        <v>50</v>
      </c>
      <c r="AP44" s="4" t="s">
        <v>129</v>
      </c>
      <c r="AQ44" t="s">
        <v>82</v>
      </c>
      <c r="AR44" t="s">
        <v>57</v>
      </c>
      <c r="AS44" t="s">
        <v>352</v>
      </c>
      <c r="AT44">
        <v>2873500</v>
      </c>
      <c r="AU44" t="s">
        <v>83</v>
      </c>
      <c r="AV44">
        <v>2</v>
      </c>
      <c r="AX44"/>
      <c r="AY44"/>
      <c r="BA44" s="10"/>
    </row>
    <row r="45" spans="1:53" s="3" customFormat="1" x14ac:dyDescent="0.3">
      <c r="A45" s="3" t="str">
        <f t="shared" si="0"/>
        <v>Sdri. Ni Putu Sintya Wira Pradnyani, S.T.</v>
      </c>
      <c r="B45" t="s">
        <v>400</v>
      </c>
      <c r="C45" t="s">
        <v>401</v>
      </c>
      <c r="D45" t="s">
        <v>78</v>
      </c>
      <c r="E45" t="s">
        <v>79</v>
      </c>
      <c r="F45" t="s">
        <v>80</v>
      </c>
      <c r="G45" t="s">
        <v>397</v>
      </c>
      <c r="H45">
        <v>3</v>
      </c>
      <c r="I45">
        <v>10</v>
      </c>
      <c r="J45" t="s">
        <v>985</v>
      </c>
      <c r="K45" t="s">
        <v>1029</v>
      </c>
      <c r="L45" t="s">
        <v>81</v>
      </c>
      <c r="M45"/>
      <c r="N45" t="s">
        <v>398</v>
      </c>
      <c r="O45">
        <v>2873500</v>
      </c>
      <c r="P45" t="s">
        <v>82</v>
      </c>
      <c r="Q45" t="s">
        <v>83</v>
      </c>
      <c r="R45" t="s">
        <v>402</v>
      </c>
      <c r="S45" t="s">
        <v>106</v>
      </c>
      <c r="T45" t="s">
        <v>50</v>
      </c>
      <c r="U45">
        <v>2</v>
      </c>
      <c r="V45">
        <v>0</v>
      </c>
      <c r="W45">
        <v>2579400</v>
      </c>
      <c r="X45" t="s">
        <v>86</v>
      </c>
      <c r="Y45" t="s">
        <v>403</v>
      </c>
      <c r="Z45" t="s">
        <v>88</v>
      </c>
      <c r="AA45" t="s">
        <v>89</v>
      </c>
      <c r="AB45">
        <v>1</v>
      </c>
      <c r="AC45">
        <v>0</v>
      </c>
      <c r="AD45">
        <v>2964000</v>
      </c>
      <c r="AE45" t="s">
        <v>90</v>
      </c>
      <c r="AF45">
        <v>4</v>
      </c>
      <c r="AG45">
        <v>0</v>
      </c>
      <c r="AH45" t="s">
        <v>53</v>
      </c>
      <c r="AI45" t="s">
        <v>72</v>
      </c>
      <c r="AJ45" t="s">
        <v>73</v>
      </c>
      <c r="AK45" t="s">
        <v>74</v>
      </c>
      <c r="AL45" t="s">
        <v>56</v>
      </c>
      <c r="AM45">
        <v>2</v>
      </c>
      <c r="AN45">
        <v>0</v>
      </c>
      <c r="AO45" t="s">
        <v>50</v>
      </c>
      <c r="AP45" s="4" t="s">
        <v>106</v>
      </c>
      <c r="AQ45" t="s">
        <v>82</v>
      </c>
      <c r="AR45" t="s">
        <v>57</v>
      </c>
      <c r="AS45" t="s">
        <v>402</v>
      </c>
      <c r="AT45">
        <v>2873500</v>
      </c>
      <c r="AU45" t="s">
        <v>83</v>
      </c>
      <c r="AV45">
        <v>2</v>
      </c>
      <c r="AX45"/>
      <c r="AY45"/>
      <c r="BA45" s="10"/>
    </row>
    <row r="46" spans="1:53" s="3" customFormat="1" x14ac:dyDescent="0.3">
      <c r="A46" s="3" t="str">
        <f t="shared" si="0"/>
        <v>Sdr. Bonardo Lumbanraja, S.T.</v>
      </c>
      <c r="B46" t="s">
        <v>404</v>
      </c>
      <c r="C46" t="s">
        <v>405</v>
      </c>
      <c r="D46" t="s">
        <v>78</v>
      </c>
      <c r="E46" t="s">
        <v>79</v>
      </c>
      <c r="F46" t="s">
        <v>80</v>
      </c>
      <c r="G46" t="s">
        <v>406</v>
      </c>
      <c r="H46">
        <v>3</v>
      </c>
      <c r="I46">
        <v>10</v>
      </c>
      <c r="J46" t="s">
        <v>985</v>
      </c>
      <c r="K46" t="s">
        <v>1030</v>
      </c>
      <c r="L46" t="s">
        <v>48</v>
      </c>
      <c r="M46"/>
      <c r="N46" t="s">
        <v>407</v>
      </c>
      <c r="O46">
        <v>2873500</v>
      </c>
      <c r="P46" t="s">
        <v>82</v>
      </c>
      <c r="Q46" t="s">
        <v>83</v>
      </c>
      <c r="R46" t="s">
        <v>408</v>
      </c>
      <c r="S46" t="s">
        <v>106</v>
      </c>
      <c r="T46" t="s">
        <v>50</v>
      </c>
      <c r="U46">
        <v>2</v>
      </c>
      <c r="V46">
        <v>0</v>
      </c>
      <c r="W46">
        <v>2579400</v>
      </c>
      <c r="X46" t="s">
        <v>86</v>
      </c>
      <c r="Y46" t="s">
        <v>409</v>
      </c>
      <c r="Z46" t="s">
        <v>88</v>
      </c>
      <c r="AA46" t="s">
        <v>89</v>
      </c>
      <c r="AB46">
        <v>1</v>
      </c>
      <c r="AC46">
        <v>0</v>
      </c>
      <c r="AD46">
        <v>2964000</v>
      </c>
      <c r="AE46" t="s">
        <v>90</v>
      </c>
      <c r="AF46">
        <v>4</v>
      </c>
      <c r="AG46">
        <v>0</v>
      </c>
      <c r="AH46" t="s">
        <v>53</v>
      </c>
      <c r="AI46" t="s">
        <v>72</v>
      </c>
      <c r="AJ46" t="s">
        <v>73</v>
      </c>
      <c r="AK46" t="s">
        <v>74</v>
      </c>
      <c r="AL46" t="s">
        <v>56</v>
      </c>
      <c r="AM46">
        <v>2</v>
      </c>
      <c r="AN46">
        <v>0</v>
      </c>
      <c r="AO46" t="s">
        <v>50</v>
      </c>
      <c r="AP46" s="4" t="s">
        <v>106</v>
      </c>
      <c r="AQ46" t="s">
        <v>82</v>
      </c>
      <c r="AR46" t="s">
        <v>57</v>
      </c>
      <c r="AS46" t="s">
        <v>408</v>
      </c>
      <c r="AT46">
        <v>2873500</v>
      </c>
      <c r="AU46" t="s">
        <v>83</v>
      </c>
      <c r="AV46">
        <v>2</v>
      </c>
      <c r="AX46"/>
      <c r="AY46"/>
      <c r="BA46" s="10"/>
    </row>
    <row r="47" spans="1:53" s="3" customFormat="1" x14ac:dyDescent="0.3">
      <c r="A47" s="3" t="str">
        <f t="shared" si="0"/>
        <v>Sdr. Ir. Istiadi Nugroho, S.T.</v>
      </c>
      <c r="B47" t="s">
        <v>410</v>
      </c>
      <c r="C47" t="s">
        <v>411</v>
      </c>
      <c r="D47" t="s">
        <v>412</v>
      </c>
      <c r="E47" t="s">
        <v>413</v>
      </c>
      <c r="F47" t="s">
        <v>62</v>
      </c>
      <c r="G47" t="s">
        <v>414</v>
      </c>
      <c r="H47">
        <v>17</v>
      </c>
      <c r="I47">
        <v>10</v>
      </c>
      <c r="J47" t="s">
        <v>985</v>
      </c>
      <c r="K47" t="s">
        <v>1031</v>
      </c>
      <c r="L47" t="s">
        <v>48</v>
      </c>
      <c r="M47"/>
      <c r="N47" t="s">
        <v>415</v>
      </c>
      <c r="O47">
        <v>4042500</v>
      </c>
      <c r="P47" t="s">
        <v>416</v>
      </c>
      <c r="Q47" t="s">
        <v>83</v>
      </c>
      <c r="R47" t="s">
        <v>417</v>
      </c>
      <c r="S47" t="s">
        <v>190</v>
      </c>
      <c r="T47" t="s">
        <v>50</v>
      </c>
      <c r="U47">
        <v>16</v>
      </c>
      <c r="V47">
        <v>0</v>
      </c>
      <c r="W47">
        <v>3518100</v>
      </c>
      <c r="X47" t="s">
        <v>418</v>
      </c>
      <c r="Y47" t="s">
        <v>419</v>
      </c>
      <c r="Z47" t="s">
        <v>420</v>
      </c>
      <c r="AA47" t="s">
        <v>421</v>
      </c>
      <c r="AB47">
        <v>12</v>
      </c>
      <c r="AC47">
        <v>1</v>
      </c>
      <c r="AD47">
        <v>4169900</v>
      </c>
      <c r="AE47" t="s">
        <v>422</v>
      </c>
      <c r="AF47">
        <v>18</v>
      </c>
      <c r="AG47">
        <v>0</v>
      </c>
      <c r="AH47" t="s">
        <v>53</v>
      </c>
      <c r="AI47" t="s">
        <v>72</v>
      </c>
      <c r="AJ47" t="s">
        <v>73</v>
      </c>
      <c r="AK47" t="s">
        <v>74</v>
      </c>
      <c r="AL47" t="s">
        <v>56</v>
      </c>
      <c r="AM47">
        <v>16</v>
      </c>
      <c r="AN47">
        <v>0</v>
      </c>
      <c r="AO47" t="s">
        <v>50</v>
      </c>
      <c r="AP47" s="4" t="s">
        <v>190</v>
      </c>
      <c r="AQ47" t="s">
        <v>416</v>
      </c>
      <c r="AR47" t="s">
        <v>57</v>
      </c>
      <c r="AS47" t="s">
        <v>417</v>
      </c>
      <c r="AT47">
        <v>4042500</v>
      </c>
      <c r="AU47" t="s">
        <v>83</v>
      </c>
      <c r="AV47">
        <v>2</v>
      </c>
      <c r="AX47"/>
      <c r="AY47"/>
      <c r="BA47" s="10"/>
    </row>
    <row r="48" spans="1:53" x14ac:dyDescent="0.3">
      <c r="A48" s="3" t="str">
        <f t="shared" si="0"/>
        <v>Sdr. Elias Godelfridus Arman, S.T.</v>
      </c>
      <c r="B48" t="s">
        <v>423</v>
      </c>
      <c r="C48" t="s">
        <v>424</v>
      </c>
      <c r="D48" t="s">
        <v>78</v>
      </c>
      <c r="E48" t="s">
        <v>79</v>
      </c>
      <c r="F48" t="s">
        <v>80</v>
      </c>
      <c r="G48" t="s">
        <v>414</v>
      </c>
      <c r="H48">
        <v>3</v>
      </c>
      <c r="I48">
        <v>10</v>
      </c>
      <c r="J48" t="s">
        <v>985</v>
      </c>
      <c r="K48" t="s">
        <v>1032</v>
      </c>
      <c r="L48" t="s">
        <v>48</v>
      </c>
      <c r="N48" t="s">
        <v>415</v>
      </c>
      <c r="O48">
        <v>2873500</v>
      </c>
      <c r="P48" t="s">
        <v>82</v>
      </c>
      <c r="Q48" t="s">
        <v>83</v>
      </c>
      <c r="R48" t="s">
        <v>425</v>
      </c>
      <c r="S48" t="s">
        <v>129</v>
      </c>
      <c r="T48" t="s">
        <v>50</v>
      </c>
      <c r="U48">
        <v>2</v>
      </c>
      <c r="V48">
        <v>0</v>
      </c>
      <c r="W48">
        <v>2579400</v>
      </c>
      <c r="X48" t="s">
        <v>86</v>
      </c>
      <c r="Y48" t="s">
        <v>426</v>
      </c>
      <c r="Z48" t="s">
        <v>88</v>
      </c>
      <c r="AA48" t="s">
        <v>89</v>
      </c>
      <c r="AB48">
        <v>1</v>
      </c>
      <c r="AC48">
        <v>0</v>
      </c>
      <c r="AD48">
        <v>2964000</v>
      </c>
      <c r="AE48" t="s">
        <v>90</v>
      </c>
      <c r="AF48">
        <v>4</v>
      </c>
      <c r="AG48">
        <v>0</v>
      </c>
      <c r="AH48" t="s">
        <v>53</v>
      </c>
      <c r="AI48" t="s">
        <v>72</v>
      </c>
      <c r="AJ48" t="s">
        <v>73</v>
      </c>
      <c r="AK48" t="s">
        <v>74</v>
      </c>
      <c r="AL48" t="s">
        <v>56</v>
      </c>
      <c r="AM48">
        <v>2</v>
      </c>
      <c r="AN48">
        <v>0</v>
      </c>
      <c r="AO48" t="s">
        <v>50</v>
      </c>
      <c r="AP48" s="4" t="s">
        <v>129</v>
      </c>
      <c r="AQ48" t="s">
        <v>82</v>
      </c>
      <c r="AR48" t="s">
        <v>57</v>
      </c>
      <c r="AS48" t="s">
        <v>425</v>
      </c>
      <c r="AT48">
        <v>2873500</v>
      </c>
      <c r="AU48" t="s">
        <v>83</v>
      </c>
      <c r="AV48">
        <v>2</v>
      </c>
    </row>
    <row r="49" spans="1:51" x14ac:dyDescent="0.3">
      <c r="A49" s="3" t="str">
        <f t="shared" si="0"/>
        <v>Sdri. Novita Bertiani Ndeo, S.T.</v>
      </c>
      <c r="B49" t="s">
        <v>427</v>
      </c>
      <c r="C49" t="s">
        <v>428</v>
      </c>
      <c r="D49" t="s">
        <v>78</v>
      </c>
      <c r="E49" t="s">
        <v>79</v>
      </c>
      <c r="F49" t="s">
        <v>80</v>
      </c>
      <c r="G49" t="s">
        <v>414</v>
      </c>
      <c r="H49">
        <v>3</v>
      </c>
      <c r="I49">
        <v>10</v>
      </c>
      <c r="J49" t="s">
        <v>985</v>
      </c>
      <c r="K49" t="s">
        <v>1033</v>
      </c>
      <c r="L49" t="s">
        <v>81</v>
      </c>
      <c r="N49" t="s">
        <v>415</v>
      </c>
      <c r="O49">
        <v>2873500</v>
      </c>
      <c r="P49" t="s">
        <v>82</v>
      </c>
      <c r="Q49" t="s">
        <v>83</v>
      </c>
      <c r="R49" t="s">
        <v>429</v>
      </c>
      <c r="S49" t="s">
        <v>190</v>
      </c>
      <c r="T49" t="s">
        <v>50</v>
      </c>
      <c r="U49">
        <v>2</v>
      </c>
      <c r="V49">
        <v>0</v>
      </c>
      <c r="W49">
        <v>2579400</v>
      </c>
      <c r="X49" t="s">
        <v>86</v>
      </c>
      <c r="Y49" t="s">
        <v>430</v>
      </c>
      <c r="Z49" t="s">
        <v>88</v>
      </c>
      <c r="AA49" t="s">
        <v>89</v>
      </c>
      <c r="AB49">
        <v>1</v>
      </c>
      <c r="AC49">
        <v>0</v>
      </c>
      <c r="AD49">
        <v>2964000</v>
      </c>
      <c r="AE49" t="s">
        <v>90</v>
      </c>
      <c r="AF49">
        <v>4</v>
      </c>
      <c r="AG49">
        <v>0</v>
      </c>
      <c r="AH49" t="s">
        <v>53</v>
      </c>
      <c r="AI49" t="s">
        <v>72</v>
      </c>
      <c r="AJ49" t="s">
        <v>73</v>
      </c>
      <c r="AK49" t="s">
        <v>74</v>
      </c>
      <c r="AL49" t="s">
        <v>56</v>
      </c>
      <c r="AM49">
        <v>2</v>
      </c>
      <c r="AN49">
        <v>0</v>
      </c>
      <c r="AO49" t="s">
        <v>50</v>
      </c>
      <c r="AP49" s="4" t="s">
        <v>190</v>
      </c>
      <c r="AQ49" t="s">
        <v>82</v>
      </c>
      <c r="AR49" t="s">
        <v>57</v>
      </c>
      <c r="AS49" t="s">
        <v>429</v>
      </c>
      <c r="AT49">
        <v>2873500</v>
      </c>
      <c r="AU49" t="s">
        <v>83</v>
      </c>
      <c r="AV49">
        <v>2</v>
      </c>
    </row>
    <row r="50" spans="1:51" x14ac:dyDescent="0.3">
      <c r="A50" s="3" t="str">
        <f t="shared" si="0"/>
        <v>Sdr. Kikit Olmus, S.T.</v>
      </c>
      <c r="B50" t="s">
        <v>431</v>
      </c>
      <c r="C50" t="s">
        <v>432</v>
      </c>
      <c r="D50" t="s">
        <v>60</v>
      </c>
      <c r="E50" t="s">
        <v>61</v>
      </c>
      <c r="F50" t="s">
        <v>433</v>
      </c>
      <c r="G50" t="s">
        <v>434</v>
      </c>
      <c r="H50">
        <v>11</v>
      </c>
      <c r="I50">
        <v>10</v>
      </c>
      <c r="J50" t="s">
        <v>985</v>
      </c>
      <c r="K50" t="s">
        <v>1034</v>
      </c>
      <c r="L50" t="s">
        <v>48</v>
      </c>
      <c r="N50" t="s">
        <v>435</v>
      </c>
      <c r="O50">
        <v>3533900</v>
      </c>
      <c r="P50" t="s">
        <v>436</v>
      </c>
      <c r="Q50" t="s">
        <v>83</v>
      </c>
      <c r="R50" t="s">
        <v>437</v>
      </c>
      <c r="S50" t="s">
        <v>106</v>
      </c>
      <c r="T50" t="s">
        <v>50</v>
      </c>
      <c r="U50">
        <v>10</v>
      </c>
      <c r="V50">
        <v>0</v>
      </c>
      <c r="W50">
        <v>3172300</v>
      </c>
      <c r="X50" t="s">
        <v>438</v>
      </c>
      <c r="Y50" t="s">
        <v>439</v>
      </c>
      <c r="Z50" t="s">
        <v>51</v>
      </c>
      <c r="AA50" t="s">
        <v>52</v>
      </c>
      <c r="AB50">
        <v>8</v>
      </c>
      <c r="AC50">
        <v>1</v>
      </c>
      <c r="AD50">
        <v>3645200</v>
      </c>
      <c r="AE50" t="s">
        <v>440</v>
      </c>
      <c r="AF50">
        <v>12</v>
      </c>
      <c r="AG50">
        <v>0</v>
      </c>
      <c r="AH50" t="s">
        <v>53</v>
      </c>
      <c r="AI50" t="s">
        <v>72</v>
      </c>
      <c r="AJ50" t="s">
        <v>73</v>
      </c>
      <c r="AK50" t="s">
        <v>74</v>
      </c>
      <c r="AL50" t="s">
        <v>56</v>
      </c>
      <c r="AM50">
        <v>10</v>
      </c>
      <c r="AN50">
        <v>0</v>
      </c>
      <c r="AO50" t="s">
        <v>50</v>
      </c>
      <c r="AP50" s="4" t="s">
        <v>106</v>
      </c>
      <c r="AQ50" t="s">
        <v>436</v>
      </c>
      <c r="AR50" t="s">
        <v>57</v>
      </c>
      <c r="AS50" t="s">
        <v>437</v>
      </c>
      <c r="AT50">
        <v>3533900</v>
      </c>
      <c r="AU50" t="s">
        <v>83</v>
      </c>
      <c r="AV50">
        <v>2</v>
      </c>
    </row>
    <row r="51" spans="1:51" x14ac:dyDescent="0.3">
      <c r="A51" s="3" t="str">
        <f t="shared" si="0"/>
        <v>Sdri. Ir. Lutfia Noer Kemalasari, S.Tr.T</v>
      </c>
      <c r="B51" t="s">
        <v>441</v>
      </c>
      <c r="C51" t="s">
        <v>442</v>
      </c>
      <c r="D51" t="s">
        <v>78</v>
      </c>
      <c r="E51" t="s">
        <v>79</v>
      </c>
      <c r="F51" t="s">
        <v>384</v>
      </c>
      <c r="G51" t="s">
        <v>434</v>
      </c>
      <c r="H51">
        <v>3</v>
      </c>
      <c r="I51">
        <v>10</v>
      </c>
      <c r="J51" t="s">
        <v>985</v>
      </c>
      <c r="K51" t="s">
        <v>1035</v>
      </c>
      <c r="L51" t="s">
        <v>81</v>
      </c>
      <c r="N51" t="s">
        <v>435</v>
      </c>
      <c r="O51">
        <v>2873500</v>
      </c>
      <c r="P51" t="s">
        <v>82</v>
      </c>
      <c r="Q51" t="s">
        <v>83</v>
      </c>
      <c r="R51" t="s">
        <v>443</v>
      </c>
      <c r="S51" t="s">
        <v>106</v>
      </c>
      <c r="T51" t="s">
        <v>50</v>
      </c>
      <c r="U51">
        <v>2</v>
      </c>
      <c r="V51">
        <v>0</v>
      </c>
      <c r="W51">
        <v>2579400</v>
      </c>
      <c r="X51" t="s">
        <v>86</v>
      </c>
      <c r="Y51" t="s">
        <v>444</v>
      </c>
      <c r="Z51" t="s">
        <v>88</v>
      </c>
      <c r="AA51" t="s">
        <v>89</v>
      </c>
      <c r="AB51">
        <v>1</v>
      </c>
      <c r="AC51">
        <v>0</v>
      </c>
      <c r="AD51">
        <v>2964000</v>
      </c>
      <c r="AE51" t="s">
        <v>90</v>
      </c>
      <c r="AF51">
        <v>4</v>
      </c>
      <c r="AG51">
        <v>0</v>
      </c>
      <c r="AH51" t="s">
        <v>53</v>
      </c>
      <c r="AI51" t="s">
        <v>72</v>
      </c>
      <c r="AJ51" t="s">
        <v>73</v>
      </c>
      <c r="AK51" t="s">
        <v>74</v>
      </c>
      <c r="AL51" t="s">
        <v>56</v>
      </c>
      <c r="AM51">
        <v>2</v>
      </c>
      <c r="AN51">
        <v>0</v>
      </c>
      <c r="AO51" t="s">
        <v>50</v>
      </c>
      <c r="AP51" s="4" t="s">
        <v>106</v>
      </c>
      <c r="AQ51" t="s">
        <v>82</v>
      </c>
      <c r="AR51" t="s">
        <v>57</v>
      </c>
      <c r="AS51" t="s">
        <v>443</v>
      </c>
      <c r="AT51">
        <v>2873500</v>
      </c>
      <c r="AU51" t="s">
        <v>83</v>
      </c>
      <c r="AV51">
        <v>2</v>
      </c>
    </row>
    <row r="52" spans="1:51" x14ac:dyDescent="0.3">
      <c r="A52" s="3" t="str">
        <f t="shared" si="0"/>
        <v>Sdri. Annisa Fitri Rangkuti, S.Tr.T</v>
      </c>
      <c r="B52" t="s">
        <v>445</v>
      </c>
      <c r="C52" t="s">
        <v>446</v>
      </c>
      <c r="D52" t="s">
        <v>78</v>
      </c>
      <c r="E52" t="s">
        <v>79</v>
      </c>
      <c r="F52" t="s">
        <v>227</v>
      </c>
      <c r="G52" t="s">
        <v>447</v>
      </c>
      <c r="H52">
        <v>3</v>
      </c>
      <c r="I52">
        <v>10</v>
      </c>
      <c r="J52" t="s">
        <v>985</v>
      </c>
      <c r="K52" t="s">
        <v>1036</v>
      </c>
      <c r="L52" t="s">
        <v>81</v>
      </c>
      <c r="N52" t="s">
        <v>448</v>
      </c>
      <c r="O52">
        <v>2873500</v>
      </c>
      <c r="P52" t="s">
        <v>82</v>
      </c>
      <c r="Q52" t="s">
        <v>83</v>
      </c>
      <c r="R52" t="s">
        <v>449</v>
      </c>
      <c r="S52" t="s">
        <v>106</v>
      </c>
      <c r="T52" t="s">
        <v>50</v>
      </c>
      <c r="U52">
        <v>2</v>
      </c>
      <c r="V52">
        <v>0</v>
      </c>
      <c r="W52">
        <v>2579400</v>
      </c>
      <c r="X52" t="s">
        <v>86</v>
      </c>
      <c r="Y52" t="s">
        <v>450</v>
      </c>
      <c r="Z52" t="s">
        <v>88</v>
      </c>
      <c r="AA52" t="s">
        <v>89</v>
      </c>
      <c r="AB52">
        <v>1</v>
      </c>
      <c r="AC52">
        <v>0</v>
      </c>
      <c r="AD52">
        <v>2964000</v>
      </c>
      <c r="AE52" t="s">
        <v>90</v>
      </c>
      <c r="AF52">
        <v>4</v>
      </c>
      <c r="AG52">
        <v>0</v>
      </c>
      <c r="AH52" t="s">
        <v>53</v>
      </c>
      <c r="AI52" t="s">
        <v>72</v>
      </c>
      <c r="AJ52" t="s">
        <v>73</v>
      </c>
      <c r="AK52" t="s">
        <v>74</v>
      </c>
      <c r="AL52" t="s">
        <v>56</v>
      </c>
      <c r="AM52">
        <v>2</v>
      </c>
      <c r="AN52">
        <v>0</v>
      </c>
      <c r="AO52" t="s">
        <v>50</v>
      </c>
      <c r="AP52" s="4" t="s">
        <v>106</v>
      </c>
      <c r="AQ52" t="s">
        <v>82</v>
      </c>
      <c r="AR52" t="s">
        <v>57</v>
      </c>
      <c r="AS52" t="s">
        <v>449</v>
      </c>
      <c r="AT52">
        <v>2873500</v>
      </c>
      <c r="AU52" t="s">
        <v>83</v>
      </c>
      <c r="AV52">
        <v>2</v>
      </c>
    </row>
    <row r="53" spans="1:51" x14ac:dyDescent="0.3">
      <c r="A53" s="3" t="str">
        <f t="shared" si="0"/>
        <v>Sdr. Syahril Ode, S.T.</v>
      </c>
      <c r="B53" t="s">
        <v>451</v>
      </c>
      <c r="C53" t="s">
        <v>452</v>
      </c>
      <c r="D53" t="s">
        <v>78</v>
      </c>
      <c r="E53" t="s">
        <v>79</v>
      </c>
      <c r="F53" t="s">
        <v>80</v>
      </c>
      <c r="G53" t="s">
        <v>453</v>
      </c>
      <c r="H53">
        <v>3</v>
      </c>
      <c r="I53">
        <v>10</v>
      </c>
      <c r="J53" t="s">
        <v>985</v>
      </c>
      <c r="K53" t="s">
        <v>1037</v>
      </c>
      <c r="L53" t="s">
        <v>48</v>
      </c>
      <c r="N53" t="s">
        <v>454</v>
      </c>
      <c r="O53">
        <v>2579400</v>
      </c>
      <c r="P53" t="s">
        <v>86</v>
      </c>
      <c r="Q53" t="s">
        <v>94</v>
      </c>
      <c r="R53" t="s">
        <v>455</v>
      </c>
      <c r="T53" t="s">
        <v>89</v>
      </c>
      <c r="U53">
        <v>1</v>
      </c>
      <c r="V53">
        <v>0</v>
      </c>
      <c r="W53">
        <v>2579400</v>
      </c>
      <c r="X53" t="s">
        <v>86</v>
      </c>
      <c r="Y53" t="s">
        <v>455</v>
      </c>
      <c r="Z53" t="s">
        <v>88</v>
      </c>
      <c r="AA53" t="s">
        <v>89</v>
      </c>
      <c r="AB53">
        <v>1</v>
      </c>
      <c r="AC53">
        <v>0</v>
      </c>
      <c r="AD53">
        <v>2964000</v>
      </c>
      <c r="AE53" t="s">
        <v>90</v>
      </c>
      <c r="AF53">
        <v>4</v>
      </c>
      <c r="AG53">
        <v>0</v>
      </c>
      <c r="AH53" t="s">
        <v>53</v>
      </c>
      <c r="AI53" t="s">
        <v>72</v>
      </c>
      <c r="AJ53" t="s">
        <v>73</v>
      </c>
      <c r="AK53" t="s">
        <v>74</v>
      </c>
      <c r="AL53" t="s">
        <v>56</v>
      </c>
      <c r="AM53">
        <v>1</v>
      </c>
      <c r="AN53">
        <v>0</v>
      </c>
      <c r="AO53" t="s">
        <v>89</v>
      </c>
      <c r="AP53" s="5" t="s">
        <v>88</v>
      </c>
      <c r="AQ53" t="s">
        <v>86</v>
      </c>
      <c r="AR53" t="s">
        <v>96</v>
      </c>
      <c r="AS53" t="s">
        <v>455</v>
      </c>
      <c r="AT53">
        <v>2579400</v>
      </c>
      <c r="AU53" t="s">
        <v>959</v>
      </c>
      <c r="AV53">
        <v>3</v>
      </c>
    </row>
    <row r="54" spans="1:51" x14ac:dyDescent="0.3">
      <c r="A54" s="3" t="str">
        <f t="shared" si="0"/>
        <v>Sdr. Ariefani Nurhakim, S.T.</v>
      </c>
      <c r="B54" t="s">
        <v>456</v>
      </c>
      <c r="C54" t="s">
        <v>457</v>
      </c>
      <c r="D54" t="s">
        <v>78</v>
      </c>
      <c r="E54" t="s">
        <v>79</v>
      </c>
      <c r="F54" t="s">
        <v>80</v>
      </c>
      <c r="G54" t="s">
        <v>458</v>
      </c>
      <c r="H54">
        <v>3</v>
      </c>
      <c r="I54">
        <v>10</v>
      </c>
      <c r="J54" t="s">
        <v>985</v>
      </c>
      <c r="K54" t="s">
        <v>1038</v>
      </c>
      <c r="L54" t="s">
        <v>48</v>
      </c>
      <c r="N54" t="s">
        <v>459</v>
      </c>
      <c r="O54">
        <v>2873500</v>
      </c>
      <c r="P54" t="s">
        <v>82</v>
      </c>
      <c r="Q54" t="s">
        <v>83</v>
      </c>
      <c r="R54" t="s">
        <v>460</v>
      </c>
      <c r="S54" t="s">
        <v>106</v>
      </c>
      <c r="T54" t="s">
        <v>50</v>
      </c>
      <c r="U54">
        <v>2</v>
      </c>
      <c r="V54">
        <v>0</v>
      </c>
      <c r="W54">
        <v>2579400</v>
      </c>
      <c r="X54" t="s">
        <v>86</v>
      </c>
      <c r="Y54" t="s">
        <v>461</v>
      </c>
      <c r="Z54" t="s">
        <v>88</v>
      </c>
      <c r="AA54" t="s">
        <v>89</v>
      </c>
      <c r="AB54">
        <v>1</v>
      </c>
      <c r="AC54">
        <v>0</v>
      </c>
      <c r="AD54">
        <v>2964000</v>
      </c>
      <c r="AE54" t="s">
        <v>90</v>
      </c>
      <c r="AF54">
        <v>4</v>
      </c>
      <c r="AG54">
        <v>0</v>
      </c>
      <c r="AH54" t="s">
        <v>53</v>
      </c>
      <c r="AI54" t="s">
        <v>72</v>
      </c>
      <c r="AJ54" t="s">
        <v>73</v>
      </c>
      <c r="AK54" t="s">
        <v>74</v>
      </c>
      <c r="AL54" t="s">
        <v>56</v>
      </c>
      <c r="AM54">
        <v>2</v>
      </c>
      <c r="AN54">
        <v>0</v>
      </c>
      <c r="AO54" t="s">
        <v>50</v>
      </c>
      <c r="AP54" s="4" t="s">
        <v>106</v>
      </c>
      <c r="AQ54" t="s">
        <v>82</v>
      </c>
      <c r="AR54" t="s">
        <v>57</v>
      </c>
      <c r="AS54" t="s">
        <v>460</v>
      </c>
      <c r="AT54">
        <v>2873500</v>
      </c>
      <c r="AU54" t="s">
        <v>83</v>
      </c>
      <c r="AV54">
        <v>2</v>
      </c>
    </row>
    <row r="55" spans="1:51" x14ac:dyDescent="0.3">
      <c r="A55" s="3" t="str">
        <f t="shared" si="0"/>
        <v>Sdr. Dani Nurul Firdaus, S.T.</v>
      </c>
      <c r="B55" t="s">
        <v>462</v>
      </c>
      <c r="C55" t="s">
        <v>463</v>
      </c>
      <c r="D55" t="s">
        <v>78</v>
      </c>
      <c r="E55" t="s">
        <v>79</v>
      </c>
      <c r="F55" t="s">
        <v>384</v>
      </c>
      <c r="G55" t="s">
        <v>458</v>
      </c>
      <c r="H55">
        <v>3</v>
      </c>
      <c r="I55">
        <v>10</v>
      </c>
      <c r="J55" t="s">
        <v>985</v>
      </c>
      <c r="K55" t="s">
        <v>1039</v>
      </c>
      <c r="L55" t="s">
        <v>48</v>
      </c>
      <c r="N55" t="s">
        <v>459</v>
      </c>
      <c r="O55">
        <v>2873500</v>
      </c>
      <c r="P55" t="s">
        <v>82</v>
      </c>
      <c r="Q55" t="s">
        <v>72</v>
      </c>
      <c r="R55" t="s">
        <v>464</v>
      </c>
      <c r="S55" t="s">
        <v>465</v>
      </c>
      <c r="T55" t="s">
        <v>466</v>
      </c>
      <c r="U55">
        <v>3</v>
      </c>
      <c r="V55">
        <v>7</v>
      </c>
      <c r="W55">
        <v>2579400</v>
      </c>
      <c r="X55" t="s">
        <v>86</v>
      </c>
      <c r="Y55" t="s">
        <v>467</v>
      </c>
      <c r="Z55" t="s">
        <v>88</v>
      </c>
      <c r="AA55" t="s">
        <v>89</v>
      </c>
      <c r="AB55">
        <v>1</v>
      </c>
      <c r="AC55">
        <v>0</v>
      </c>
      <c r="AD55">
        <v>2964000</v>
      </c>
      <c r="AE55" t="s">
        <v>90</v>
      </c>
      <c r="AF55">
        <v>4</v>
      </c>
      <c r="AG55">
        <v>0</v>
      </c>
      <c r="AH55" t="s">
        <v>53</v>
      </c>
      <c r="AI55" t="s">
        <v>72</v>
      </c>
      <c r="AJ55" t="s">
        <v>73</v>
      </c>
      <c r="AK55" t="s">
        <v>74</v>
      </c>
      <c r="AL55" t="s">
        <v>56</v>
      </c>
      <c r="AM55">
        <v>3</v>
      </c>
      <c r="AN55">
        <v>7</v>
      </c>
      <c r="AO55" t="s">
        <v>466</v>
      </c>
      <c r="AP55" s="4" t="s">
        <v>465</v>
      </c>
      <c r="AQ55" t="s">
        <v>82</v>
      </c>
      <c r="AR55" t="s">
        <v>468</v>
      </c>
      <c r="AS55" t="s">
        <v>464</v>
      </c>
      <c r="AT55">
        <v>2873500</v>
      </c>
      <c r="AU55" t="s">
        <v>72</v>
      </c>
      <c r="AV55">
        <v>1</v>
      </c>
    </row>
    <row r="56" spans="1:51" x14ac:dyDescent="0.3">
      <c r="A56" s="3" t="str">
        <f t="shared" si="0"/>
        <v>Sdr. Yohanes Bagaskara Cahya Kusuma, S.Tr.T</v>
      </c>
      <c r="B56" t="s">
        <v>469</v>
      </c>
      <c r="C56" t="s">
        <v>470</v>
      </c>
      <c r="D56" t="s">
        <v>78</v>
      </c>
      <c r="E56" t="s">
        <v>79</v>
      </c>
      <c r="F56" t="s">
        <v>80</v>
      </c>
      <c r="G56" t="s">
        <v>458</v>
      </c>
      <c r="H56">
        <v>3</v>
      </c>
      <c r="I56">
        <v>10</v>
      </c>
      <c r="J56" t="s">
        <v>985</v>
      </c>
      <c r="K56" t="s">
        <v>1040</v>
      </c>
      <c r="L56" t="s">
        <v>48</v>
      </c>
      <c r="N56" t="s">
        <v>459</v>
      </c>
      <c r="O56">
        <v>3821000</v>
      </c>
      <c r="P56" t="s">
        <v>471</v>
      </c>
      <c r="Q56" t="s">
        <v>472</v>
      </c>
      <c r="R56" t="s">
        <v>473</v>
      </c>
      <c r="S56" t="s">
        <v>106</v>
      </c>
      <c r="T56" t="s">
        <v>50</v>
      </c>
      <c r="U56">
        <v>2</v>
      </c>
      <c r="V56">
        <v>0</v>
      </c>
      <c r="W56">
        <v>2579400</v>
      </c>
      <c r="X56" t="s">
        <v>86</v>
      </c>
      <c r="Y56" t="s">
        <v>474</v>
      </c>
      <c r="Z56" t="s">
        <v>88</v>
      </c>
      <c r="AA56" t="s">
        <v>89</v>
      </c>
      <c r="AB56">
        <v>1</v>
      </c>
      <c r="AC56">
        <v>0</v>
      </c>
      <c r="AD56">
        <v>2964000</v>
      </c>
      <c r="AE56" t="s">
        <v>90</v>
      </c>
      <c r="AF56">
        <v>4</v>
      </c>
      <c r="AG56">
        <v>0</v>
      </c>
      <c r="AH56" t="s">
        <v>53</v>
      </c>
      <c r="AI56" t="s">
        <v>72</v>
      </c>
      <c r="AJ56" t="s">
        <v>73</v>
      </c>
      <c r="AK56" t="s">
        <v>74</v>
      </c>
      <c r="AL56" t="s">
        <v>56</v>
      </c>
      <c r="AM56">
        <v>2</v>
      </c>
      <c r="AN56">
        <v>0</v>
      </c>
      <c r="AO56" t="s">
        <v>50</v>
      </c>
      <c r="AP56" s="4" t="s">
        <v>106</v>
      </c>
      <c r="AQ56" t="s">
        <v>471</v>
      </c>
      <c r="AR56" t="s">
        <v>57</v>
      </c>
      <c r="AS56" t="s">
        <v>473</v>
      </c>
      <c r="AT56">
        <v>3821000</v>
      </c>
      <c r="AU56" t="s">
        <v>83</v>
      </c>
      <c r="AV56">
        <v>2</v>
      </c>
      <c r="AY56" t="s">
        <v>960</v>
      </c>
    </row>
  </sheetData>
  <autoFilter ref="B1:AY56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DCF5-64E0-4AC5-9037-581107C4C5E6}">
  <dimension ref="A3:F31"/>
  <sheetViews>
    <sheetView workbookViewId="0">
      <selection activeCell="A3" sqref="A3"/>
    </sheetView>
  </sheetViews>
  <sheetFormatPr defaultRowHeight="14.4" x14ac:dyDescent="0.3"/>
  <cols>
    <col min="1" max="1" width="61.21875" bestFit="1" customWidth="1"/>
    <col min="2" max="2" width="15.5546875" bestFit="1" customWidth="1"/>
    <col min="3" max="3" width="2" bestFit="1" customWidth="1"/>
    <col min="4" max="5" width="3" bestFit="1" customWidth="1"/>
    <col min="6" max="6" width="10.77734375" bestFit="1" customWidth="1"/>
  </cols>
  <sheetData>
    <row r="3" spans="1:6" x14ac:dyDescent="0.3">
      <c r="A3" s="11" t="s">
        <v>1048</v>
      </c>
      <c r="B3" s="11" t="s">
        <v>1047</v>
      </c>
    </row>
    <row r="4" spans="1:6" x14ac:dyDescent="0.3">
      <c r="A4" s="11" t="s">
        <v>1045</v>
      </c>
      <c r="B4">
        <v>4</v>
      </c>
      <c r="C4">
        <v>8</v>
      </c>
      <c r="D4">
        <v>12</v>
      </c>
      <c r="E4">
        <v>18</v>
      </c>
      <c r="F4" t="s">
        <v>1046</v>
      </c>
    </row>
    <row r="5" spans="1:6" x14ac:dyDescent="0.3">
      <c r="A5" s="9" t="s">
        <v>168</v>
      </c>
      <c r="B5" s="12">
        <v>4</v>
      </c>
      <c r="C5" s="12"/>
      <c r="D5" s="12"/>
      <c r="E5" s="12"/>
      <c r="F5" s="12">
        <v>4</v>
      </c>
    </row>
    <row r="6" spans="1:6" x14ac:dyDescent="0.3">
      <c r="A6" s="9" t="s">
        <v>397</v>
      </c>
      <c r="B6" s="12">
        <v>2</v>
      </c>
      <c r="C6" s="12"/>
      <c r="D6" s="12"/>
      <c r="E6" s="12"/>
      <c r="F6" s="12">
        <v>2</v>
      </c>
    </row>
    <row r="7" spans="1:6" x14ac:dyDescent="0.3">
      <c r="A7" s="9" t="s">
        <v>270</v>
      </c>
      <c r="B7" s="12">
        <v>2</v>
      </c>
      <c r="C7" s="12">
        <v>1</v>
      </c>
      <c r="D7" s="12"/>
      <c r="E7" s="12">
        <v>1</v>
      </c>
      <c r="F7" s="12">
        <v>4</v>
      </c>
    </row>
    <row r="8" spans="1:6" x14ac:dyDescent="0.3">
      <c r="A8" s="9" t="s">
        <v>235</v>
      </c>
      <c r="B8" s="12">
        <v>1</v>
      </c>
      <c r="C8" s="12"/>
      <c r="D8" s="12"/>
      <c r="E8" s="12"/>
      <c r="F8" s="12">
        <v>1</v>
      </c>
    </row>
    <row r="9" spans="1:6" x14ac:dyDescent="0.3">
      <c r="A9" s="9" t="s">
        <v>328</v>
      </c>
      <c r="B9" s="12">
        <v>1</v>
      </c>
      <c r="C9" s="12"/>
      <c r="D9" s="12"/>
      <c r="E9" s="12"/>
      <c r="F9" s="12">
        <v>1</v>
      </c>
    </row>
    <row r="10" spans="1:6" x14ac:dyDescent="0.3">
      <c r="A10" s="9" t="s">
        <v>447</v>
      </c>
      <c r="B10" s="12">
        <v>1</v>
      </c>
      <c r="C10" s="12"/>
      <c r="D10" s="12"/>
      <c r="E10" s="12"/>
      <c r="F10" s="12">
        <v>1</v>
      </c>
    </row>
    <row r="11" spans="1:6" x14ac:dyDescent="0.3">
      <c r="A11" s="9" t="s">
        <v>297</v>
      </c>
      <c r="B11" s="12">
        <v>2</v>
      </c>
      <c r="C11" s="12"/>
      <c r="D11" s="12"/>
      <c r="E11" s="12"/>
      <c r="F11" s="12">
        <v>2</v>
      </c>
    </row>
    <row r="12" spans="1:6" x14ac:dyDescent="0.3">
      <c r="A12" s="9" t="s">
        <v>46</v>
      </c>
      <c r="B12" s="12">
        <v>5</v>
      </c>
      <c r="C12" s="12"/>
      <c r="D12" s="12"/>
      <c r="E12" s="12"/>
      <c r="F12" s="12">
        <v>5</v>
      </c>
    </row>
    <row r="13" spans="1:6" x14ac:dyDescent="0.3">
      <c r="A13" s="9" t="s">
        <v>334</v>
      </c>
      <c r="B13" s="12">
        <v>3</v>
      </c>
      <c r="C13" s="12"/>
      <c r="D13" s="12"/>
      <c r="E13" s="12"/>
      <c r="F13" s="12">
        <v>3</v>
      </c>
    </row>
    <row r="14" spans="1:6" x14ac:dyDescent="0.3">
      <c r="A14" s="9" t="s">
        <v>370</v>
      </c>
      <c r="B14" s="12">
        <v>3</v>
      </c>
      <c r="C14" s="12"/>
      <c r="D14" s="12"/>
      <c r="E14" s="12"/>
      <c r="F14" s="12">
        <v>3</v>
      </c>
    </row>
    <row r="15" spans="1:6" x14ac:dyDescent="0.3">
      <c r="A15" s="9" t="s">
        <v>360</v>
      </c>
      <c r="B15" s="12">
        <v>2</v>
      </c>
      <c r="C15" s="12"/>
      <c r="D15" s="12"/>
      <c r="E15" s="12"/>
      <c r="F15" s="12">
        <v>2</v>
      </c>
    </row>
    <row r="16" spans="1:6" x14ac:dyDescent="0.3">
      <c r="A16" s="9" t="s">
        <v>391</v>
      </c>
      <c r="B16" s="12">
        <v>1</v>
      </c>
      <c r="C16" s="12"/>
      <c r="D16" s="12"/>
      <c r="E16" s="12"/>
      <c r="F16" s="12">
        <v>1</v>
      </c>
    </row>
    <row r="17" spans="1:6" x14ac:dyDescent="0.3">
      <c r="A17" s="9" t="s">
        <v>350</v>
      </c>
      <c r="B17" s="12">
        <v>2</v>
      </c>
      <c r="C17" s="12"/>
      <c r="D17" s="12"/>
      <c r="E17" s="12"/>
      <c r="F17" s="12">
        <v>2</v>
      </c>
    </row>
    <row r="18" spans="1:6" x14ac:dyDescent="0.3">
      <c r="A18" s="9" t="s">
        <v>385</v>
      </c>
      <c r="B18" s="12">
        <v>1</v>
      </c>
      <c r="C18" s="12"/>
      <c r="D18" s="12"/>
      <c r="E18" s="12"/>
      <c r="F18" s="12">
        <v>1</v>
      </c>
    </row>
    <row r="19" spans="1:6" x14ac:dyDescent="0.3">
      <c r="A19" s="9" t="s">
        <v>249</v>
      </c>
      <c r="B19" s="12">
        <v>1</v>
      </c>
      <c r="C19" s="12"/>
      <c r="D19" s="12"/>
      <c r="E19" s="12"/>
      <c r="F19" s="12">
        <v>1</v>
      </c>
    </row>
    <row r="20" spans="1:6" x14ac:dyDescent="0.3">
      <c r="A20" s="9" t="s">
        <v>228</v>
      </c>
      <c r="B20" s="12">
        <v>1</v>
      </c>
      <c r="C20" s="12"/>
      <c r="D20" s="12"/>
      <c r="E20" s="12"/>
      <c r="F20" s="12">
        <v>1</v>
      </c>
    </row>
    <row r="21" spans="1:6" x14ac:dyDescent="0.3">
      <c r="A21" s="9" t="s">
        <v>259</v>
      </c>
      <c r="B21" s="12">
        <v>2</v>
      </c>
      <c r="C21" s="12"/>
      <c r="D21" s="12"/>
      <c r="E21" s="12"/>
      <c r="F21" s="12">
        <v>2</v>
      </c>
    </row>
    <row r="22" spans="1:6" x14ac:dyDescent="0.3">
      <c r="A22" s="9" t="s">
        <v>453</v>
      </c>
      <c r="B22" s="12">
        <v>1</v>
      </c>
      <c r="C22" s="12"/>
      <c r="D22" s="12"/>
      <c r="E22" s="12"/>
      <c r="F22" s="12">
        <v>1</v>
      </c>
    </row>
    <row r="23" spans="1:6" x14ac:dyDescent="0.3">
      <c r="A23" s="9" t="s">
        <v>406</v>
      </c>
      <c r="B23" s="12">
        <v>1</v>
      </c>
      <c r="C23" s="12"/>
      <c r="D23" s="12"/>
      <c r="E23" s="12"/>
      <c r="F23" s="12">
        <v>1</v>
      </c>
    </row>
    <row r="24" spans="1:6" x14ac:dyDescent="0.3">
      <c r="A24" s="9" t="s">
        <v>414</v>
      </c>
      <c r="B24" s="12">
        <v>2</v>
      </c>
      <c r="C24" s="12"/>
      <c r="D24" s="12"/>
      <c r="E24" s="12">
        <v>1</v>
      </c>
      <c r="F24" s="12">
        <v>3</v>
      </c>
    </row>
    <row r="25" spans="1:6" x14ac:dyDescent="0.3">
      <c r="A25" s="9" t="s">
        <v>458</v>
      </c>
      <c r="B25" s="12">
        <v>3</v>
      </c>
      <c r="C25" s="12"/>
      <c r="D25" s="12"/>
      <c r="E25" s="12"/>
      <c r="F25" s="12">
        <v>3</v>
      </c>
    </row>
    <row r="26" spans="1:6" x14ac:dyDescent="0.3">
      <c r="A26" s="9" t="s">
        <v>222</v>
      </c>
      <c r="B26" s="12">
        <v>1</v>
      </c>
      <c r="C26" s="12"/>
      <c r="D26" s="12"/>
      <c r="E26" s="12"/>
      <c r="F26" s="12">
        <v>1</v>
      </c>
    </row>
    <row r="27" spans="1:6" x14ac:dyDescent="0.3">
      <c r="A27" s="9" t="s">
        <v>434</v>
      </c>
      <c r="B27" s="12">
        <v>1</v>
      </c>
      <c r="C27" s="12"/>
      <c r="D27" s="12">
        <v>1</v>
      </c>
      <c r="E27" s="12"/>
      <c r="F27" s="12">
        <v>2</v>
      </c>
    </row>
    <row r="28" spans="1:6" x14ac:dyDescent="0.3">
      <c r="A28" s="9" t="s">
        <v>211</v>
      </c>
      <c r="B28" s="12">
        <v>2</v>
      </c>
      <c r="C28" s="12"/>
      <c r="D28" s="12"/>
      <c r="E28" s="12"/>
      <c r="F28" s="12">
        <v>2</v>
      </c>
    </row>
    <row r="29" spans="1:6" x14ac:dyDescent="0.3">
      <c r="A29" s="9" t="s">
        <v>241</v>
      </c>
      <c r="B29" s="12">
        <v>1</v>
      </c>
      <c r="C29" s="12"/>
      <c r="D29" s="12"/>
      <c r="E29" s="12"/>
      <c r="F29" s="12">
        <v>1</v>
      </c>
    </row>
    <row r="30" spans="1:6" x14ac:dyDescent="0.3">
      <c r="A30" s="9" t="s">
        <v>187</v>
      </c>
      <c r="B30" s="12">
        <v>5</v>
      </c>
      <c r="C30" s="12"/>
      <c r="D30" s="12"/>
      <c r="E30" s="12"/>
      <c r="F30" s="12">
        <v>5</v>
      </c>
    </row>
    <row r="31" spans="1:6" x14ac:dyDescent="0.3">
      <c r="A31" s="9" t="s">
        <v>1046</v>
      </c>
      <c r="B31" s="12">
        <v>51</v>
      </c>
      <c r="C31" s="12">
        <v>1</v>
      </c>
      <c r="D31" s="12">
        <v>1</v>
      </c>
      <c r="E31" s="12">
        <v>2</v>
      </c>
      <c r="F31" s="12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80F9-3B4C-4CD7-A2DC-7808383178D3}">
  <dimension ref="A2:D33"/>
  <sheetViews>
    <sheetView topLeftCell="A20" workbookViewId="0">
      <selection activeCell="A31" sqref="A31"/>
    </sheetView>
  </sheetViews>
  <sheetFormatPr defaultRowHeight="14.4" x14ac:dyDescent="0.3"/>
  <cols>
    <col min="1" max="1" width="3.44140625" style="14" bestFit="1" customWidth="1"/>
    <col min="2" max="2" width="61.21875" bestFit="1" customWidth="1"/>
    <col min="3" max="3" width="14" style="14" bestFit="1" customWidth="1"/>
    <col min="4" max="4" width="15" style="14" bestFit="1" customWidth="1"/>
  </cols>
  <sheetData>
    <row r="2" spans="1:4" x14ac:dyDescent="0.3">
      <c r="A2" s="16" t="s">
        <v>1041</v>
      </c>
      <c r="B2" s="17" t="s">
        <v>1042</v>
      </c>
      <c r="C2" s="16" t="s">
        <v>1043</v>
      </c>
      <c r="D2" s="16" t="s">
        <v>1044</v>
      </c>
    </row>
    <row r="3" spans="1:4" x14ac:dyDescent="0.3">
      <c r="A3" s="16">
        <v>1</v>
      </c>
      <c r="B3" s="18" t="s">
        <v>168</v>
      </c>
      <c r="C3" s="16">
        <v>4</v>
      </c>
      <c r="D3" s="16" t="s">
        <v>1049</v>
      </c>
    </row>
    <row r="4" spans="1:4" x14ac:dyDescent="0.3">
      <c r="A4" s="16">
        <v>2</v>
      </c>
      <c r="B4" s="18" t="s">
        <v>187</v>
      </c>
      <c r="C4" s="16">
        <v>5</v>
      </c>
      <c r="D4" s="16" t="s">
        <v>1049</v>
      </c>
    </row>
    <row r="5" spans="1:4" x14ac:dyDescent="0.3">
      <c r="A5" s="16">
        <v>3</v>
      </c>
      <c r="B5" s="18" t="s">
        <v>211</v>
      </c>
      <c r="C5" s="16">
        <v>2</v>
      </c>
      <c r="D5" s="16" t="s">
        <v>1049</v>
      </c>
    </row>
    <row r="6" spans="1:4" x14ac:dyDescent="0.3">
      <c r="A6" s="16">
        <v>4</v>
      </c>
      <c r="B6" s="18" t="s">
        <v>222</v>
      </c>
      <c r="C6" s="16">
        <v>1</v>
      </c>
      <c r="D6" s="16" t="s">
        <v>1049</v>
      </c>
    </row>
    <row r="7" spans="1:4" x14ac:dyDescent="0.3">
      <c r="A7" s="16">
        <v>5</v>
      </c>
      <c r="B7" s="18" t="s">
        <v>228</v>
      </c>
      <c r="C7" s="16">
        <v>1</v>
      </c>
      <c r="D7" s="16" t="s">
        <v>1049</v>
      </c>
    </row>
    <row r="8" spans="1:4" x14ac:dyDescent="0.3">
      <c r="A8" s="16">
        <v>6</v>
      </c>
      <c r="B8" s="18" t="s">
        <v>235</v>
      </c>
      <c r="C8" s="16">
        <v>1</v>
      </c>
      <c r="D8" s="16" t="s">
        <v>1049</v>
      </c>
    </row>
    <row r="9" spans="1:4" x14ac:dyDescent="0.3">
      <c r="A9" s="16">
        <v>7</v>
      </c>
      <c r="B9" s="18" t="s">
        <v>241</v>
      </c>
      <c r="C9" s="16">
        <v>1</v>
      </c>
      <c r="D9" s="16" t="s">
        <v>1049</v>
      </c>
    </row>
    <row r="10" spans="1:4" x14ac:dyDescent="0.3">
      <c r="A10" s="16">
        <v>8</v>
      </c>
      <c r="B10" s="18" t="s">
        <v>249</v>
      </c>
      <c r="C10" s="16">
        <v>1</v>
      </c>
      <c r="D10" s="16" t="s">
        <v>1049</v>
      </c>
    </row>
    <row r="11" spans="1:4" x14ac:dyDescent="0.3">
      <c r="A11" s="16">
        <v>9</v>
      </c>
      <c r="B11" s="18" t="s">
        <v>259</v>
      </c>
      <c r="C11" s="16">
        <v>2</v>
      </c>
      <c r="D11" s="16" t="s">
        <v>1049</v>
      </c>
    </row>
    <row r="12" spans="1:4" x14ac:dyDescent="0.3">
      <c r="A12" s="27">
        <v>10</v>
      </c>
      <c r="B12" s="28" t="s">
        <v>270</v>
      </c>
      <c r="C12" s="16">
        <v>1</v>
      </c>
      <c r="D12" s="16" t="s">
        <v>1050</v>
      </c>
    </row>
    <row r="13" spans="1:4" x14ac:dyDescent="0.3">
      <c r="A13" s="27"/>
      <c r="B13" s="28"/>
      <c r="C13" s="16">
        <v>1</v>
      </c>
      <c r="D13" s="16" t="s">
        <v>1051</v>
      </c>
    </row>
    <row r="14" spans="1:4" x14ac:dyDescent="0.3">
      <c r="A14" s="27"/>
      <c r="B14" s="28"/>
      <c r="C14" s="16">
        <v>2</v>
      </c>
      <c r="D14" s="16" t="s">
        <v>1049</v>
      </c>
    </row>
    <row r="15" spans="1:4" x14ac:dyDescent="0.3">
      <c r="A15" s="16">
        <v>11</v>
      </c>
      <c r="B15" s="18" t="s">
        <v>297</v>
      </c>
      <c r="C15" s="16">
        <v>2</v>
      </c>
      <c r="D15" s="16" t="s">
        <v>1049</v>
      </c>
    </row>
    <row r="16" spans="1:4" x14ac:dyDescent="0.3">
      <c r="A16" s="16">
        <v>12</v>
      </c>
      <c r="B16" s="18" t="s">
        <v>46</v>
      </c>
      <c r="C16" s="16">
        <v>5</v>
      </c>
      <c r="D16" s="16" t="s">
        <v>1049</v>
      </c>
    </row>
    <row r="17" spans="1:4" x14ac:dyDescent="0.3">
      <c r="A17" s="16">
        <v>13</v>
      </c>
      <c r="B17" s="18" t="s">
        <v>328</v>
      </c>
      <c r="C17" s="16">
        <v>1</v>
      </c>
      <c r="D17" s="16" t="s">
        <v>1049</v>
      </c>
    </row>
    <row r="18" spans="1:4" x14ac:dyDescent="0.3">
      <c r="A18" s="16">
        <v>14</v>
      </c>
      <c r="B18" s="18" t="s">
        <v>334</v>
      </c>
      <c r="C18" s="16">
        <v>3</v>
      </c>
      <c r="D18" s="16" t="s">
        <v>1049</v>
      </c>
    </row>
    <row r="19" spans="1:4" x14ac:dyDescent="0.3">
      <c r="A19" s="16">
        <v>15</v>
      </c>
      <c r="B19" s="18" t="s">
        <v>350</v>
      </c>
      <c r="C19" s="16">
        <v>2</v>
      </c>
      <c r="D19" s="16" t="s">
        <v>1049</v>
      </c>
    </row>
    <row r="20" spans="1:4" x14ac:dyDescent="0.3">
      <c r="A20" s="16">
        <v>16</v>
      </c>
      <c r="B20" s="18" t="s">
        <v>360</v>
      </c>
      <c r="C20" s="16">
        <v>2</v>
      </c>
      <c r="D20" s="16" t="s">
        <v>1049</v>
      </c>
    </row>
    <row r="21" spans="1:4" x14ac:dyDescent="0.3">
      <c r="A21" s="16">
        <v>17</v>
      </c>
      <c r="B21" s="18" t="s">
        <v>370</v>
      </c>
      <c r="C21" s="16">
        <v>3</v>
      </c>
      <c r="D21" s="16" t="s">
        <v>1049</v>
      </c>
    </row>
    <row r="22" spans="1:4" x14ac:dyDescent="0.3">
      <c r="A22" s="16">
        <v>18</v>
      </c>
      <c r="B22" s="18" t="s">
        <v>385</v>
      </c>
      <c r="C22" s="16">
        <v>1</v>
      </c>
      <c r="D22" s="16" t="s">
        <v>1049</v>
      </c>
    </row>
    <row r="23" spans="1:4" x14ac:dyDescent="0.3">
      <c r="A23" s="16">
        <v>19</v>
      </c>
      <c r="B23" s="18" t="s">
        <v>391</v>
      </c>
      <c r="C23" s="16">
        <v>1</v>
      </c>
      <c r="D23" s="16" t="s">
        <v>1049</v>
      </c>
    </row>
    <row r="24" spans="1:4" x14ac:dyDescent="0.3">
      <c r="A24" s="16">
        <v>20</v>
      </c>
      <c r="B24" s="18" t="s">
        <v>397</v>
      </c>
      <c r="C24" s="16">
        <v>2</v>
      </c>
      <c r="D24" s="16" t="s">
        <v>1049</v>
      </c>
    </row>
    <row r="25" spans="1:4" x14ac:dyDescent="0.3">
      <c r="A25" s="16">
        <v>21</v>
      </c>
      <c r="B25" s="18" t="s">
        <v>406</v>
      </c>
      <c r="C25" s="16">
        <v>1</v>
      </c>
      <c r="D25" s="16" t="s">
        <v>1049</v>
      </c>
    </row>
    <row r="26" spans="1:4" x14ac:dyDescent="0.3">
      <c r="A26" s="27">
        <v>22</v>
      </c>
      <c r="B26" s="28" t="s">
        <v>414</v>
      </c>
      <c r="C26" s="16">
        <v>1</v>
      </c>
      <c r="D26" s="16" t="s">
        <v>1050</v>
      </c>
    </row>
    <row r="27" spans="1:4" x14ac:dyDescent="0.3">
      <c r="A27" s="27"/>
      <c r="B27" s="28"/>
      <c r="C27" s="16">
        <v>2</v>
      </c>
      <c r="D27" s="16" t="s">
        <v>1049</v>
      </c>
    </row>
    <row r="28" spans="1:4" x14ac:dyDescent="0.3">
      <c r="A28" s="27">
        <v>23</v>
      </c>
      <c r="B28" s="28" t="s">
        <v>434</v>
      </c>
      <c r="C28" s="16">
        <v>1</v>
      </c>
      <c r="D28" s="16" t="s">
        <v>1052</v>
      </c>
    </row>
    <row r="29" spans="1:4" x14ac:dyDescent="0.3">
      <c r="A29" s="27"/>
      <c r="B29" s="28"/>
      <c r="C29" s="16">
        <v>1</v>
      </c>
      <c r="D29" s="16" t="s">
        <v>1049</v>
      </c>
    </row>
    <row r="30" spans="1:4" s="13" customFormat="1" x14ac:dyDescent="0.3">
      <c r="A30" s="16">
        <v>24</v>
      </c>
      <c r="B30" s="18" t="s">
        <v>447</v>
      </c>
      <c r="C30" s="16">
        <v>1</v>
      </c>
      <c r="D30" s="16" t="s">
        <v>1049</v>
      </c>
    </row>
    <row r="31" spans="1:4" x14ac:dyDescent="0.3">
      <c r="A31" s="19">
        <v>25</v>
      </c>
      <c r="B31" s="18" t="s">
        <v>453</v>
      </c>
      <c r="C31" s="16">
        <v>1</v>
      </c>
      <c r="D31" s="16" t="s">
        <v>1049</v>
      </c>
    </row>
    <row r="32" spans="1:4" x14ac:dyDescent="0.3">
      <c r="A32" s="19">
        <v>26</v>
      </c>
      <c r="B32" s="18" t="s">
        <v>458</v>
      </c>
      <c r="C32" s="16">
        <v>3</v>
      </c>
      <c r="D32" s="16" t="s">
        <v>1049</v>
      </c>
    </row>
    <row r="33" spans="1:1" x14ac:dyDescent="0.3">
      <c r="A33" s="15"/>
    </row>
  </sheetData>
  <mergeCells count="6">
    <mergeCell ref="A12:A14"/>
    <mergeCell ref="B12:B14"/>
    <mergeCell ref="A26:A27"/>
    <mergeCell ref="B26:B27"/>
    <mergeCell ref="A28:A29"/>
    <mergeCell ref="B28:B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1ECE-CFCC-449B-8AE6-DDBB7EDF12B6}">
  <dimension ref="A1:AV18"/>
  <sheetViews>
    <sheetView tabSelected="1" zoomScale="50" zoomScaleNormal="5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F19" sqref="F19"/>
    </sheetView>
  </sheetViews>
  <sheetFormatPr defaultRowHeight="14.4" x14ac:dyDescent="0.3"/>
  <cols>
    <col min="1" max="1" width="31.77734375" bestFit="1" customWidth="1"/>
    <col min="2" max="2" width="19" bestFit="1" customWidth="1"/>
    <col min="3" max="3" width="17.44140625" bestFit="1" customWidth="1"/>
    <col min="4" max="4" width="8.44140625" bestFit="1" customWidth="1"/>
    <col min="5" max="5" width="62.44140625" bestFit="1" customWidth="1"/>
    <col min="6" max="6" width="88" bestFit="1" customWidth="1"/>
    <col min="7" max="7" width="16.6640625" hidden="1" customWidth="1"/>
    <col min="8" max="8" width="16.33203125" hidden="1" customWidth="1"/>
    <col min="9" max="9" width="14.21875" hidden="1" customWidth="1"/>
    <col min="10" max="10" width="12.21875" style="24" hidden="1" customWidth="1"/>
    <col min="11" max="11" width="18.109375" hidden="1" customWidth="1"/>
    <col min="12" max="12" width="8.77734375" hidden="1" customWidth="1"/>
    <col min="13" max="13" width="86.21875" hidden="1" customWidth="1"/>
    <col min="14" max="14" width="21.88671875" hidden="1" customWidth="1"/>
    <col min="15" max="15" width="61.33203125" hidden="1" customWidth="1"/>
    <col min="16" max="16" width="40" hidden="1" customWidth="1"/>
    <col min="17" max="17" width="24" hidden="1" customWidth="1"/>
    <col min="18" max="18" width="28" hidden="1" customWidth="1"/>
    <col min="19" max="19" width="32.6640625" hidden="1" customWidth="1"/>
    <col min="20" max="20" width="35" hidden="1" customWidth="1"/>
    <col min="21" max="21" width="34.77734375" hidden="1" customWidth="1"/>
    <col min="22" max="22" width="19.44140625" hidden="1" customWidth="1"/>
    <col min="23" max="23" width="61.33203125" hidden="1" customWidth="1"/>
    <col min="24" max="24" width="21.6640625" hidden="1" customWidth="1"/>
    <col min="25" max="25" width="25.6640625" hidden="1" customWidth="1"/>
    <col min="26" max="26" width="27.77734375" hidden="1" customWidth="1"/>
    <col min="27" max="27" width="32.5546875" hidden="1" customWidth="1"/>
    <col min="28" max="28" width="32.21875" hidden="1" customWidth="1"/>
    <col min="29" max="29" width="8.6640625" hidden="1" customWidth="1"/>
    <col min="30" max="30" width="63.6640625" hidden="1" customWidth="1"/>
    <col min="31" max="31" width="21.77734375" bestFit="1" customWidth="1"/>
    <col min="32" max="32" width="21.44140625" bestFit="1" customWidth="1"/>
    <col min="33" max="33" width="17.6640625" bestFit="1" customWidth="1"/>
    <col min="34" max="34" width="42.44140625" bestFit="1" customWidth="1"/>
    <col min="35" max="35" width="32.5546875" bestFit="1" customWidth="1"/>
    <col min="36" max="36" width="30.44140625" bestFit="1" customWidth="1"/>
    <col min="37" max="37" width="6" bestFit="1" customWidth="1"/>
    <col min="38" max="38" width="30.77734375" bestFit="1" customWidth="1"/>
    <col min="39" max="39" width="30.44140625" bestFit="1" customWidth="1"/>
    <col min="40" max="40" width="26.6640625" bestFit="1" customWidth="1"/>
    <col min="41" max="41" width="23.77734375" bestFit="1" customWidth="1"/>
    <col min="42" max="42" width="61.33203125" bestFit="1" customWidth="1"/>
    <col min="43" max="43" width="28.88671875" bestFit="1" customWidth="1"/>
    <col min="44" max="44" width="19.77734375" bestFit="1" customWidth="1"/>
    <col min="45" max="45" width="17.6640625" bestFit="1" customWidth="1"/>
    <col min="46" max="46" width="68.5546875" bestFit="1" customWidth="1"/>
    <col min="47" max="47" width="36.88671875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3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25" t="s">
        <v>1053</v>
      </c>
    </row>
    <row r="2" spans="1:48" x14ac:dyDescent="0.3">
      <c r="A2" t="s">
        <v>487</v>
      </c>
      <c r="B2" t="s">
        <v>488</v>
      </c>
      <c r="C2" t="s">
        <v>489</v>
      </c>
      <c r="D2" t="s">
        <v>490</v>
      </c>
      <c r="E2" t="s">
        <v>491</v>
      </c>
      <c r="F2" t="s">
        <v>480</v>
      </c>
      <c r="G2">
        <v>1</v>
      </c>
      <c r="H2">
        <v>10</v>
      </c>
      <c r="I2" t="s">
        <v>1073</v>
      </c>
      <c r="J2" s="24" t="s">
        <v>1056</v>
      </c>
      <c r="K2" t="str">
        <f>CONCATENATE(J2, "/KPTS/Gs/2026")</f>
        <v>04/KPTS/Gs/2026</v>
      </c>
      <c r="L2" t="s">
        <v>48</v>
      </c>
      <c r="N2">
        <v>3203600</v>
      </c>
      <c r="O2" t="s">
        <v>492</v>
      </c>
      <c r="Q2" t="s">
        <v>493</v>
      </c>
      <c r="R2" t="s">
        <v>483</v>
      </c>
      <c r="S2" t="s">
        <v>50</v>
      </c>
      <c r="T2">
        <v>0</v>
      </c>
      <c r="U2">
        <v>0</v>
      </c>
      <c r="V2">
        <v>3203600</v>
      </c>
      <c r="W2" t="s">
        <v>492</v>
      </c>
      <c r="X2" t="s">
        <v>493</v>
      </c>
      <c r="Y2" t="s">
        <v>483</v>
      </c>
      <c r="Z2" t="s">
        <v>50</v>
      </c>
      <c r="AA2">
        <v>0</v>
      </c>
      <c r="AB2">
        <v>0</v>
      </c>
      <c r="AC2">
        <v>3304400</v>
      </c>
      <c r="AD2" t="s">
        <v>494</v>
      </c>
      <c r="AE2">
        <v>2</v>
      </c>
      <c r="AF2">
        <v>0</v>
      </c>
      <c r="AG2" t="s">
        <v>53</v>
      </c>
      <c r="AH2" t="s">
        <v>72</v>
      </c>
      <c r="AI2" t="s">
        <v>73</v>
      </c>
      <c r="AJ2" t="s">
        <v>74</v>
      </c>
      <c r="AK2" t="s">
        <v>485</v>
      </c>
      <c r="AL2">
        <v>0</v>
      </c>
      <c r="AM2">
        <v>0</v>
      </c>
      <c r="AN2" t="s">
        <v>50</v>
      </c>
      <c r="AO2" t="s">
        <v>483</v>
      </c>
      <c r="AP2" t="s">
        <v>492</v>
      </c>
      <c r="AQ2" t="s">
        <v>486</v>
      </c>
      <c r="AR2" t="s">
        <v>493</v>
      </c>
      <c r="AS2">
        <v>3203600</v>
      </c>
      <c r="AT2" t="s">
        <v>959</v>
      </c>
      <c r="AU2">
        <v>2</v>
      </c>
    </row>
    <row r="3" spans="1:48" x14ac:dyDescent="0.3">
      <c r="A3" t="s">
        <v>495</v>
      </c>
      <c r="B3" t="s">
        <v>496</v>
      </c>
      <c r="C3" t="s">
        <v>489</v>
      </c>
      <c r="D3" t="s">
        <v>490</v>
      </c>
      <c r="E3" t="s">
        <v>497</v>
      </c>
      <c r="F3" t="s">
        <v>480</v>
      </c>
      <c r="G3">
        <v>1</v>
      </c>
      <c r="H3">
        <v>10</v>
      </c>
      <c r="I3" t="s">
        <v>1073</v>
      </c>
      <c r="J3" s="24" t="s">
        <v>1058</v>
      </c>
      <c r="K3" t="str">
        <f t="shared" ref="K3:K18" si="0">CONCATENATE(J3, "/KPTS/Gs/2026")</f>
        <v>05/KPTS/Gs/2026</v>
      </c>
      <c r="L3" t="s">
        <v>48</v>
      </c>
      <c r="N3">
        <v>3203600</v>
      </c>
      <c r="O3" t="s">
        <v>492</v>
      </c>
      <c r="Q3" t="s">
        <v>498</v>
      </c>
      <c r="R3" t="s">
        <v>483</v>
      </c>
      <c r="S3" t="s">
        <v>50</v>
      </c>
      <c r="T3">
        <v>0</v>
      </c>
      <c r="U3">
        <v>0</v>
      </c>
      <c r="V3">
        <v>3203600</v>
      </c>
      <c r="W3" t="s">
        <v>492</v>
      </c>
      <c r="X3" t="s">
        <v>498</v>
      </c>
      <c r="Y3" t="s">
        <v>483</v>
      </c>
      <c r="Z3" t="s">
        <v>50</v>
      </c>
      <c r="AA3">
        <v>0</v>
      </c>
      <c r="AB3">
        <v>0</v>
      </c>
      <c r="AC3">
        <v>3304400</v>
      </c>
      <c r="AD3" t="s">
        <v>494</v>
      </c>
      <c r="AE3">
        <v>2</v>
      </c>
      <c r="AF3">
        <v>0</v>
      </c>
      <c r="AG3" t="s">
        <v>53</v>
      </c>
      <c r="AH3" t="s">
        <v>72</v>
      </c>
      <c r="AI3" t="s">
        <v>73</v>
      </c>
      <c r="AJ3" t="s">
        <v>74</v>
      </c>
      <c r="AK3" t="s">
        <v>485</v>
      </c>
      <c r="AL3">
        <v>0</v>
      </c>
      <c r="AM3">
        <v>0</v>
      </c>
      <c r="AN3" t="s">
        <v>50</v>
      </c>
      <c r="AO3" t="s">
        <v>483</v>
      </c>
      <c r="AP3" t="s">
        <v>492</v>
      </c>
      <c r="AQ3" t="s">
        <v>486</v>
      </c>
      <c r="AR3" t="s">
        <v>498</v>
      </c>
      <c r="AS3">
        <v>3203600</v>
      </c>
      <c r="AT3" t="s">
        <v>980</v>
      </c>
      <c r="AU3">
        <v>2</v>
      </c>
    </row>
    <row r="4" spans="1:48" x14ac:dyDescent="0.3">
      <c r="A4" t="s">
        <v>499</v>
      </c>
      <c r="B4" t="s">
        <v>500</v>
      </c>
      <c r="C4" t="s">
        <v>489</v>
      </c>
      <c r="D4" t="s">
        <v>490</v>
      </c>
      <c r="E4" t="s">
        <v>501</v>
      </c>
      <c r="F4" t="s">
        <v>480</v>
      </c>
      <c r="G4">
        <v>1</v>
      </c>
      <c r="H4">
        <v>10</v>
      </c>
      <c r="I4" t="s">
        <v>1073</v>
      </c>
      <c r="J4" s="24" t="s">
        <v>1059</v>
      </c>
      <c r="K4" t="str">
        <f t="shared" si="0"/>
        <v>06/KPTS/Gs/2026</v>
      </c>
      <c r="L4" t="s">
        <v>81</v>
      </c>
      <c r="N4">
        <v>3203600</v>
      </c>
      <c r="O4" t="s">
        <v>492</v>
      </c>
      <c r="Q4" t="s">
        <v>502</v>
      </c>
      <c r="R4" t="s">
        <v>483</v>
      </c>
      <c r="S4" t="s">
        <v>50</v>
      </c>
      <c r="T4">
        <v>0</v>
      </c>
      <c r="U4">
        <v>0</v>
      </c>
      <c r="V4">
        <v>3203600</v>
      </c>
      <c r="W4" t="s">
        <v>492</v>
      </c>
      <c r="X4" t="s">
        <v>502</v>
      </c>
      <c r="Y4" t="s">
        <v>483</v>
      </c>
      <c r="Z4" t="s">
        <v>50</v>
      </c>
      <c r="AA4">
        <v>0</v>
      </c>
      <c r="AB4">
        <v>0</v>
      </c>
      <c r="AC4">
        <v>3304400</v>
      </c>
      <c r="AD4" t="s">
        <v>494</v>
      </c>
      <c r="AE4">
        <v>2</v>
      </c>
      <c r="AF4">
        <v>0</v>
      </c>
      <c r="AG4" t="s">
        <v>53</v>
      </c>
      <c r="AH4" t="s">
        <v>72</v>
      </c>
      <c r="AI4" t="s">
        <v>73</v>
      </c>
      <c r="AJ4" t="s">
        <v>74</v>
      </c>
      <c r="AK4" t="s">
        <v>485</v>
      </c>
      <c r="AL4">
        <v>0</v>
      </c>
      <c r="AM4">
        <v>0</v>
      </c>
      <c r="AN4" t="s">
        <v>50</v>
      </c>
      <c r="AO4" t="s">
        <v>483</v>
      </c>
      <c r="AP4" t="s">
        <v>492</v>
      </c>
      <c r="AQ4" t="s">
        <v>486</v>
      </c>
      <c r="AR4" t="s">
        <v>502</v>
      </c>
      <c r="AS4">
        <v>3203600</v>
      </c>
      <c r="AT4" t="s">
        <v>981</v>
      </c>
      <c r="AU4">
        <v>2</v>
      </c>
    </row>
    <row r="5" spans="1:48" x14ac:dyDescent="0.3">
      <c r="A5" t="s">
        <v>503</v>
      </c>
      <c r="B5" t="s">
        <v>504</v>
      </c>
      <c r="C5" t="s">
        <v>489</v>
      </c>
      <c r="D5" t="s">
        <v>490</v>
      </c>
      <c r="E5" t="s">
        <v>505</v>
      </c>
      <c r="F5" t="s">
        <v>480</v>
      </c>
      <c r="G5">
        <v>1</v>
      </c>
      <c r="H5">
        <v>10</v>
      </c>
      <c r="I5" t="s">
        <v>1073</v>
      </c>
      <c r="J5" s="24" t="s">
        <v>1060</v>
      </c>
      <c r="K5" t="str">
        <f t="shared" si="0"/>
        <v>07/KPTS/Gs/2026</v>
      </c>
      <c r="L5" t="s">
        <v>81</v>
      </c>
      <c r="N5">
        <v>3203600</v>
      </c>
      <c r="O5" t="s">
        <v>492</v>
      </c>
      <c r="Q5" t="s">
        <v>506</v>
      </c>
      <c r="R5" t="s">
        <v>483</v>
      </c>
      <c r="T5">
        <v>0</v>
      </c>
      <c r="U5">
        <v>0</v>
      </c>
      <c r="V5">
        <v>3203600</v>
      </c>
      <c r="W5" t="s">
        <v>492</v>
      </c>
      <c r="X5" t="s">
        <v>506</v>
      </c>
      <c r="Y5" t="s">
        <v>483</v>
      </c>
      <c r="Z5" t="s">
        <v>50</v>
      </c>
      <c r="AA5">
        <v>0</v>
      </c>
      <c r="AB5">
        <v>0</v>
      </c>
      <c r="AC5">
        <v>3304400</v>
      </c>
      <c r="AD5" t="s">
        <v>494</v>
      </c>
      <c r="AE5">
        <v>2</v>
      </c>
      <c r="AF5">
        <v>0</v>
      </c>
      <c r="AG5" t="s">
        <v>53</v>
      </c>
      <c r="AH5" t="s">
        <v>72</v>
      </c>
      <c r="AI5" t="s">
        <v>73</v>
      </c>
      <c r="AJ5" t="s">
        <v>74</v>
      </c>
      <c r="AK5" t="s">
        <v>485</v>
      </c>
      <c r="AL5">
        <v>0</v>
      </c>
      <c r="AM5">
        <v>0</v>
      </c>
      <c r="AN5" t="s">
        <v>50</v>
      </c>
      <c r="AO5" t="s">
        <v>483</v>
      </c>
      <c r="AP5" t="s">
        <v>492</v>
      </c>
      <c r="AR5" t="s">
        <v>506</v>
      </c>
      <c r="AS5">
        <v>3203600</v>
      </c>
      <c r="AT5" t="s">
        <v>83</v>
      </c>
      <c r="AU5">
        <v>2</v>
      </c>
    </row>
    <row r="6" spans="1:48" x14ac:dyDescent="0.3">
      <c r="A6" t="s">
        <v>507</v>
      </c>
      <c r="B6" t="s">
        <v>508</v>
      </c>
      <c r="C6" t="s">
        <v>489</v>
      </c>
      <c r="D6" t="s">
        <v>490</v>
      </c>
      <c r="E6" t="s">
        <v>509</v>
      </c>
      <c r="F6" t="s">
        <v>63</v>
      </c>
      <c r="G6">
        <v>1</v>
      </c>
      <c r="H6">
        <v>10</v>
      </c>
      <c r="I6" t="s">
        <v>1073</v>
      </c>
      <c r="J6" s="24" t="s">
        <v>1061</v>
      </c>
      <c r="K6" t="str">
        <f t="shared" si="0"/>
        <v>08/KPTS/Gs/2026</v>
      </c>
      <c r="L6" t="s">
        <v>81</v>
      </c>
      <c r="M6" t="s">
        <v>65</v>
      </c>
      <c r="N6">
        <v>3203600</v>
      </c>
      <c r="O6" t="s">
        <v>492</v>
      </c>
      <c r="Q6" t="s">
        <v>510</v>
      </c>
      <c r="R6" t="s">
        <v>483</v>
      </c>
      <c r="T6">
        <v>0</v>
      </c>
      <c r="U6">
        <v>0</v>
      </c>
      <c r="V6">
        <v>3203600</v>
      </c>
      <c r="W6" t="s">
        <v>492</v>
      </c>
      <c r="X6" t="s">
        <v>510</v>
      </c>
      <c r="Y6" t="s">
        <v>483</v>
      </c>
      <c r="Z6" t="s">
        <v>50</v>
      </c>
      <c r="AA6">
        <v>0</v>
      </c>
      <c r="AB6">
        <v>0</v>
      </c>
      <c r="AC6">
        <v>3304400</v>
      </c>
      <c r="AD6" t="s">
        <v>494</v>
      </c>
      <c r="AE6">
        <v>2</v>
      </c>
      <c r="AF6">
        <v>0</v>
      </c>
      <c r="AG6" t="s">
        <v>53</v>
      </c>
      <c r="AH6" t="s">
        <v>72</v>
      </c>
      <c r="AI6" t="s">
        <v>73</v>
      </c>
      <c r="AJ6" t="s">
        <v>74</v>
      </c>
      <c r="AK6" t="s">
        <v>485</v>
      </c>
      <c r="AL6">
        <v>0</v>
      </c>
      <c r="AM6">
        <v>0</v>
      </c>
      <c r="AN6" t="s">
        <v>50</v>
      </c>
      <c r="AO6" t="s">
        <v>483</v>
      </c>
      <c r="AP6" t="s">
        <v>492</v>
      </c>
      <c r="AR6" t="s">
        <v>510</v>
      </c>
      <c r="AS6">
        <v>3203600</v>
      </c>
      <c r="AT6" t="s">
        <v>83</v>
      </c>
      <c r="AU6">
        <v>2</v>
      </c>
    </row>
    <row r="7" spans="1:48" x14ac:dyDescent="0.3">
      <c r="A7" t="s">
        <v>511</v>
      </c>
      <c r="B7" t="s">
        <v>512</v>
      </c>
      <c r="C7" t="s">
        <v>489</v>
      </c>
      <c r="D7" t="s">
        <v>490</v>
      </c>
      <c r="E7" t="s">
        <v>80</v>
      </c>
      <c r="F7" t="s">
        <v>63</v>
      </c>
      <c r="G7">
        <v>1</v>
      </c>
      <c r="H7">
        <v>10</v>
      </c>
      <c r="I7" t="s">
        <v>1073</v>
      </c>
      <c r="J7" s="24" t="s">
        <v>1062</v>
      </c>
      <c r="K7" t="str">
        <f t="shared" si="0"/>
        <v>09/KPTS/Gs/2026</v>
      </c>
      <c r="L7" t="s">
        <v>81</v>
      </c>
      <c r="M7" t="s">
        <v>65</v>
      </c>
      <c r="N7">
        <v>3203600</v>
      </c>
      <c r="O7" t="s">
        <v>492</v>
      </c>
      <c r="Q7" t="s">
        <v>513</v>
      </c>
      <c r="R7" t="s">
        <v>483</v>
      </c>
      <c r="T7">
        <v>0</v>
      </c>
      <c r="U7">
        <v>0</v>
      </c>
      <c r="V7">
        <v>3203600</v>
      </c>
      <c r="W7" t="s">
        <v>492</v>
      </c>
      <c r="X7" t="s">
        <v>513</v>
      </c>
      <c r="Y7" t="s">
        <v>483</v>
      </c>
      <c r="Z7" t="s">
        <v>50</v>
      </c>
      <c r="AA7">
        <v>0</v>
      </c>
      <c r="AB7">
        <v>0</v>
      </c>
      <c r="AC7">
        <v>3304400</v>
      </c>
      <c r="AD7" t="s">
        <v>494</v>
      </c>
      <c r="AE7">
        <v>2</v>
      </c>
      <c r="AF7">
        <v>0</v>
      </c>
      <c r="AG7" t="s">
        <v>53</v>
      </c>
      <c r="AH7" t="s">
        <v>72</v>
      </c>
      <c r="AI7" t="s">
        <v>73</v>
      </c>
      <c r="AJ7" t="s">
        <v>74</v>
      </c>
      <c r="AK7" t="s">
        <v>485</v>
      </c>
      <c r="AL7">
        <v>0</v>
      </c>
      <c r="AM7">
        <v>0</v>
      </c>
      <c r="AN7" t="s">
        <v>50</v>
      </c>
      <c r="AO7" t="s">
        <v>483</v>
      </c>
      <c r="AP7" t="s">
        <v>492</v>
      </c>
      <c r="AR7" t="s">
        <v>513</v>
      </c>
      <c r="AS7">
        <v>3203600</v>
      </c>
      <c r="AT7" t="s">
        <v>83</v>
      </c>
      <c r="AU7">
        <v>2</v>
      </c>
    </row>
    <row r="8" spans="1:48" x14ac:dyDescent="0.3">
      <c r="A8" t="s">
        <v>514</v>
      </c>
      <c r="B8" t="s">
        <v>515</v>
      </c>
      <c r="C8" t="s">
        <v>516</v>
      </c>
      <c r="D8" t="s">
        <v>517</v>
      </c>
      <c r="E8" t="s">
        <v>62</v>
      </c>
      <c r="F8" t="s">
        <v>63</v>
      </c>
      <c r="G8">
        <v>1</v>
      </c>
      <c r="H8">
        <v>10</v>
      </c>
      <c r="I8" t="s">
        <v>1073</v>
      </c>
      <c r="J8" s="24" t="s">
        <v>1063</v>
      </c>
      <c r="K8" t="str">
        <f t="shared" si="0"/>
        <v>10/KPTS/Gs/2026</v>
      </c>
      <c r="L8" t="s">
        <v>48</v>
      </c>
      <c r="M8" t="s">
        <v>65</v>
      </c>
      <c r="N8">
        <v>3480300</v>
      </c>
      <c r="O8" t="s">
        <v>518</v>
      </c>
      <c r="Q8" t="s">
        <v>519</v>
      </c>
      <c r="R8" t="s">
        <v>483</v>
      </c>
      <c r="T8">
        <v>0</v>
      </c>
      <c r="U8">
        <v>0</v>
      </c>
      <c r="V8">
        <v>3480300</v>
      </c>
      <c r="W8" t="s">
        <v>518</v>
      </c>
      <c r="X8" t="s">
        <v>519</v>
      </c>
      <c r="Y8" t="s">
        <v>483</v>
      </c>
      <c r="Z8" t="s">
        <v>50</v>
      </c>
      <c r="AA8">
        <v>0</v>
      </c>
      <c r="AB8">
        <v>0</v>
      </c>
      <c r="AC8">
        <v>3589900</v>
      </c>
      <c r="AD8" t="s">
        <v>520</v>
      </c>
      <c r="AE8">
        <v>2</v>
      </c>
      <c r="AF8">
        <v>0</v>
      </c>
      <c r="AG8" t="s">
        <v>53</v>
      </c>
      <c r="AH8" t="s">
        <v>72</v>
      </c>
      <c r="AI8" t="s">
        <v>73</v>
      </c>
      <c r="AJ8" t="s">
        <v>74</v>
      </c>
      <c r="AK8" t="s">
        <v>485</v>
      </c>
      <c r="AL8">
        <v>0</v>
      </c>
      <c r="AM8">
        <v>0</v>
      </c>
      <c r="AN8" t="s">
        <v>50</v>
      </c>
      <c r="AO8" t="s">
        <v>483</v>
      </c>
      <c r="AP8" t="s">
        <v>518</v>
      </c>
      <c r="AR8" t="s">
        <v>519</v>
      </c>
      <c r="AS8">
        <v>3480300</v>
      </c>
      <c r="AT8" t="s">
        <v>83</v>
      </c>
      <c r="AU8">
        <v>2</v>
      </c>
    </row>
    <row r="9" spans="1:48" x14ac:dyDescent="0.3">
      <c r="A9" t="s">
        <v>521</v>
      </c>
      <c r="B9" t="s">
        <v>522</v>
      </c>
      <c r="C9" t="s">
        <v>516</v>
      </c>
      <c r="D9" t="s">
        <v>517</v>
      </c>
      <c r="E9" t="s">
        <v>62</v>
      </c>
      <c r="F9" t="s">
        <v>99</v>
      </c>
      <c r="G9">
        <v>1</v>
      </c>
      <c r="H9">
        <v>10</v>
      </c>
      <c r="I9" t="s">
        <v>1073</v>
      </c>
      <c r="J9" s="24" t="s">
        <v>1064</v>
      </c>
      <c r="K9" t="str">
        <f t="shared" si="0"/>
        <v>11/KPTS/Gs/2026</v>
      </c>
      <c r="L9" t="s">
        <v>81</v>
      </c>
      <c r="M9" t="s">
        <v>100</v>
      </c>
      <c r="N9">
        <v>3480300</v>
      </c>
      <c r="O9" t="s">
        <v>518</v>
      </c>
      <c r="Q9" t="s">
        <v>523</v>
      </c>
      <c r="R9" t="s">
        <v>483</v>
      </c>
      <c r="T9">
        <v>0</v>
      </c>
      <c r="U9">
        <v>0</v>
      </c>
      <c r="V9">
        <v>3480300</v>
      </c>
      <c r="W9" t="s">
        <v>518</v>
      </c>
      <c r="X9" t="s">
        <v>523</v>
      </c>
      <c r="Y9" t="s">
        <v>483</v>
      </c>
      <c r="Z9" t="s">
        <v>50</v>
      </c>
      <c r="AA9">
        <v>0</v>
      </c>
      <c r="AB9">
        <v>0</v>
      </c>
      <c r="AC9">
        <v>3589900</v>
      </c>
      <c r="AD9" t="s">
        <v>520</v>
      </c>
      <c r="AE9">
        <v>2</v>
      </c>
      <c r="AF9">
        <v>0</v>
      </c>
      <c r="AG9" t="s">
        <v>53</v>
      </c>
      <c r="AH9" t="s">
        <v>72</v>
      </c>
      <c r="AI9" t="s">
        <v>73</v>
      </c>
      <c r="AJ9" t="s">
        <v>74</v>
      </c>
      <c r="AK9" t="s">
        <v>485</v>
      </c>
      <c r="AL9">
        <v>0</v>
      </c>
      <c r="AM9">
        <v>0</v>
      </c>
      <c r="AN9" t="s">
        <v>50</v>
      </c>
      <c r="AO9" t="s">
        <v>483</v>
      </c>
      <c r="AP9" t="s">
        <v>518</v>
      </c>
      <c r="AR9" t="s">
        <v>523</v>
      </c>
      <c r="AS9">
        <v>3480300</v>
      </c>
      <c r="AT9" t="s">
        <v>83</v>
      </c>
      <c r="AU9">
        <v>2</v>
      </c>
    </row>
    <row r="10" spans="1:48" x14ac:dyDescent="0.3">
      <c r="A10" t="s">
        <v>524</v>
      </c>
      <c r="B10" t="s">
        <v>525</v>
      </c>
      <c r="C10" t="s">
        <v>516</v>
      </c>
      <c r="D10" t="s">
        <v>517</v>
      </c>
      <c r="E10" t="s">
        <v>62</v>
      </c>
      <c r="F10" t="s">
        <v>99</v>
      </c>
      <c r="G10">
        <v>1</v>
      </c>
      <c r="H10">
        <v>10</v>
      </c>
      <c r="I10" t="s">
        <v>1073</v>
      </c>
      <c r="J10" s="24" t="s">
        <v>1065</v>
      </c>
      <c r="K10" t="str">
        <f t="shared" si="0"/>
        <v>12/KPTS/Gs/2026</v>
      </c>
      <c r="L10" t="s">
        <v>48</v>
      </c>
      <c r="M10" t="s">
        <v>100</v>
      </c>
      <c r="N10">
        <v>3480300</v>
      </c>
      <c r="O10" t="s">
        <v>518</v>
      </c>
      <c r="Q10" t="s">
        <v>526</v>
      </c>
      <c r="R10" t="s">
        <v>483</v>
      </c>
      <c r="S10" t="s">
        <v>50</v>
      </c>
      <c r="T10">
        <v>0</v>
      </c>
      <c r="U10">
        <v>0</v>
      </c>
      <c r="V10">
        <v>3480300</v>
      </c>
      <c r="W10" t="s">
        <v>518</v>
      </c>
      <c r="X10" t="s">
        <v>526</v>
      </c>
      <c r="Y10" t="s">
        <v>483</v>
      </c>
      <c r="Z10" t="s">
        <v>50</v>
      </c>
      <c r="AA10">
        <v>0</v>
      </c>
      <c r="AB10">
        <v>0</v>
      </c>
      <c r="AC10">
        <v>3589900</v>
      </c>
      <c r="AD10" t="s">
        <v>520</v>
      </c>
      <c r="AE10">
        <v>2</v>
      </c>
      <c r="AF10">
        <v>0</v>
      </c>
      <c r="AG10" t="s">
        <v>53</v>
      </c>
      <c r="AH10" t="s">
        <v>72</v>
      </c>
      <c r="AI10" t="s">
        <v>73</v>
      </c>
      <c r="AJ10" t="s">
        <v>74</v>
      </c>
      <c r="AK10" t="s">
        <v>485</v>
      </c>
      <c r="AL10">
        <v>0</v>
      </c>
      <c r="AM10">
        <v>0</v>
      </c>
      <c r="AN10" t="s">
        <v>50</v>
      </c>
      <c r="AO10" t="s">
        <v>483</v>
      </c>
      <c r="AP10" t="s">
        <v>518</v>
      </c>
      <c r="AQ10" t="s">
        <v>486</v>
      </c>
      <c r="AR10" t="s">
        <v>526</v>
      </c>
      <c r="AS10">
        <v>3480300</v>
      </c>
      <c r="AT10" t="s">
        <v>83</v>
      </c>
      <c r="AU10">
        <v>2</v>
      </c>
    </row>
    <row r="11" spans="1:48" x14ac:dyDescent="0.3">
      <c r="A11" t="s">
        <v>527</v>
      </c>
      <c r="B11" t="s">
        <v>528</v>
      </c>
      <c r="C11" t="s">
        <v>489</v>
      </c>
      <c r="D11" t="s">
        <v>490</v>
      </c>
      <c r="E11" t="s">
        <v>80</v>
      </c>
      <c r="F11" t="s">
        <v>99</v>
      </c>
      <c r="G11">
        <v>1</v>
      </c>
      <c r="H11">
        <v>10</v>
      </c>
      <c r="I11" t="s">
        <v>1073</v>
      </c>
      <c r="J11" s="24" t="s">
        <v>1066</v>
      </c>
      <c r="K11" t="str">
        <f t="shared" si="0"/>
        <v>13/KPTS/Gs/2026</v>
      </c>
      <c r="L11" t="s">
        <v>48</v>
      </c>
      <c r="M11" t="s">
        <v>100</v>
      </c>
      <c r="N11">
        <v>3203600</v>
      </c>
      <c r="O11" t="s">
        <v>492</v>
      </c>
      <c r="Q11" t="s">
        <v>529</v>
      </c>
      <c r="R11" t="s">
        <v>483</v>
      </c>
      <c r="T11">
        <v>0</v>
      </c>
      <c r="U11">
        <v>0</v>
      </c>
      <c r="V11">
        <v>3203600</v>
      </c>
      <c r="W11" t="s">
        <v>492</v>
      </c>
      <c r="X11" t="s">
        <v>529</v>
      </c>
      <c r="Y11" t="s">
        <v>483</v>
      </c>
      <c r="Z11" t="s">
        <v>50</v>
      </c>
      <c r="AA11">
        <v>0</v>
      </c>
      <c r="AB11">
        <v>0</v>
      </c>
      <c r="AC11">
        <v>3304400</v>
      </c>
      <c r="AD11" t="s">
        <v>494</v>
      </c>
      <c r="AE11">
        <v>2</v>
      </c>
      <c r="AF11">
        <v>0</v>
      </c>
      <c r="AG11" t="s">
        <v>53</v>
      </c>
      <c r="AH11" t="s">
        <v>72</v>
      </c>
      <c r="AI11" t="s">
        <v>73</v>
      </c>
      <c r="AJ11" t="s">
        <v>74</v>
      </c>
      <c r="AK11" t="s">
        <v>485</v>
      </c>
      <c r="AL11">
        <v>0</v>
      </c>
      <c r="AM11">
        <v>0</v>
      </c>
      <c r="AN11" t="s">
        <v>50</v>
      </c>
      <c r="AO11" t="s">
        <v>483</v>
      </c>
      <c r="AP11" t="s">
        <v>492</v>
      </c>
      <c r="AR11" t="s">
        <v>529</v>
      </c>
      <c r="AS11">
        <v>3203600</v>
      </c>
      <c r="AT11" t="s">
        <v>83</v>
      </c>
      <c r="AU11">
        <v>2</v>
      </c>
    </row>
    <row r="12" spans="1:48" x14ac:dyDescent="0.3">
      <c r="A12" t="s">
        <v>530</v>
      </c>
      <c r="B12" t="s">
        <v>531</v>
      </c>
      <c r="C12" t="s">
        <v>477</v>
      </c>
      <c r="D12" t="s">
        <v>478</v>
      </c>
      <c r="E12" t="s">
        <v>532</v>
      </c>
      <c r="F12" t="s">
        <v>137</v>
      </c>
      <c r="G12">
        <v>1</v>
      </c>
      <c r="H12">
        <v>10</v>
      </c>
      <c r="I12" t="s">
        <v>1073</v>
      </c>
      <c r="J12" s="24" t="s">
        <v>1057</v>
      </c>
      <c r="K12" t="str">
        <f t="shared" si="0"/>
        <v>14/KPTS/Gs/2026</v>
      </c>
      <c r="L12" t="s">
        <v>48</v>
      </c>
      <c r="M12" t="s">
        <v>138</v>
      </c>
      <c r="N12">
        <v>2858800</v>
      </c>
      <c r="O12" t="s">
        <v>481</v>
      </c>
      <c r="Q12" t="s">
        <v>533</v>
      </c>
      <c r="R12" t="s">
        <v>483</v>
      </c>
      <c r="S12" t="s">
        <v>50</v>
      </c>
      <c r="T12">
        <v>0</v>
      </c>
      <c r="U12">
        <v>0</v>
      </c>
      <c r="V12">
        <v>2858800</v>
      </c>
      <c r="W12" t="s">
        <v>481</v>
      </c>
      <c r="X12" t="s">
        <v>533</v>
      </c>
      <c r="Y12" t="s">
        <v>483</v>
      </c>
      <c r="Z12" t="s">
        <v>50</v>
      </c>
      <c r="AA12">
        <v>0</v>
      </c>
      <c r="AB12">
        <v>0</v>
      </c>
      <c r="AC12">
        <v>2948800</v>
      </c>
      <c r="AD12" t="s">
        <v>484</v>
      </c>
      <c r="AE12">
        <v>5</v>
      </c>
      <c r="AF12">
        <v>0</v>
      </c>
      <c r="AG12" t="s">
        <v>53</v>
      </c>
      <c r="AH12" t="s">
        <v>72</v>
      </c>
      <c r="AI12" t="s">
        <v>73</v>
      </c>
      <c r="AJ12" t="s">
        <v>74</v>
      </c>
      <c r="AK12" t="s">
        <v>485</v>
      </c>
      <c r="AL12">
        <v>3</v>
      </c>
      <c r="AM12">
        <v>0</v>
      </c>
      <c r="AN12" t="s">
        <v>50</v>
      </c>
      <c r="AO12" t="s">
        <v>483</v>
      </c>
      <c r="AP12" t="s">
        <v>481</v>
      </c>
      <c r="AQ12" t="s">
        <v>486</v>
      </c>
      <c r="AR12" t="s">
        <v>533</v>
      </c>
      <c r="AS12">
        <v>2858800</v>
      </c>
      <c r="AT12" t="s">
        <v>982</v>
      </c>
      <c r="AU12">
        <v>2</v>
      </c>
    </row>
    <row r="13" spans="1:48" x14ac:dyDescent="0.3">
      <c r="A13" t="s">
        <v>534</v>
      </c>
      <c r="B13" t="s">
        <v>535</v>
      </c>
      <c r="C13" t="s">
        <v>489</v>
      </c>
      <c r="D13" t="s">
        <v>490</v>
      </c>
      <c r="E13" t="s">
        <v>80</v>
      </c>
      <c r="F13" t="s">
        <v>137</v>
      </c>
      <c r="G13">
        <v>1</v>
      </c>
      <c r="H13">
        <v>10</v>
      </c>
      <c r="I13" t="s">
        <v>1073</v>
      </c>
      <c r="J13" s="24" t="s">
        <v>1067</v>
      </c>
      <c r="K13" t="str">
        <f t="shared" si="0"/>
        <v>15/KPTS/Gs/2026</v>
      </c>
      <c r="L13" t="s">
        <v>48</v>
      </c>
      <c r="M13" t="s">
        <v>138</v>
      </c>
      <c r="N13">
        <v>3203600</v>
      </c>
      <c r="O13" t="s">
        <v>492</v>
      </c>
      <c r="Q13" t="s">
        <v>536</v>
      </c>
      <c r="R13" t="s">
        <v>483</v>
      </c>
      <c r="T13">
        <v>0</v>
      </c>
      <c r="U13">
        <v>0</v>
      </c>
      <c r="V13">
        <v>3203600</v>
      </c>
      <c r="W13" t="s">
        <v>492</v>
      </c>
      <c r="X13" t="s">
        <v>536</v>
      </c>
      <c r="Y13" t="s">
        <v>483</v>
      </c>
      <c r="Z13" t="s">
        <v>50</v>
      </c>
      <c r="AA13">
        <v>0</v>
      </c>
      <c r="AB13">
        <v>0</v>
      </c>
      <c r="AC13">
        <v>3304400</v>
      </c>
      <c r="AD13" t="s">
        <v>494</v>
      </c>
      <c r="AE13">
        <v>2</v>
      </c>
      <c r="AF13">
        <v>0</v>
      </c>
      <c r="AG13" t="s">
        <v>53</v>
      </c>
      <c r="AH13" t="s">
        <v>72</v>
      </c>
      <c r="AI13" t="s">
        <v>73</v>
      </c>
      <c r="AJ13" t="s">
        <v>74</v>
      </c>
      <c r="AK13" t="s">
        <v>485</v>
      </c>
      <c r="AL13">
        <v>0</v>
      </c>
      <c r="AM13">
        <v>0</v>
      </c>
      <c r="AN13" t="s">
        <v>50</v>
      </c>
      <c r="AO13" t="s">
        <v>483</v>
      </c>
      <c r="AP13" t="s">
        <v>492</v>
      </c>
      <c r="AR13" t="s">
        <v>536</v>
      </c>
      <c r="AS13">
        <v>3203600</v>
      </c>
      <c r="AT13" t="s">
        <v>83</v>
      </c>
      <c r="AU13">
        <v>2</v>
      </c>
    </row>
    <row r="14" spans="1:48" x14ac:dyDescent="0.3">
      <c r="A14" t="s">
        <v>537</v>
      </c>
      <c r="B14" t="s">
        <v>538</v>
      </c>
      <c r="C14" t="s">
        <v>489</v>
      </c>
      <c r="D14" t="s">
        <v>490</v>
      </c>
      <c r="E14" t="s">
        <v>539</v>
      </c>
      <c r="F14" t="s">
        <v>137</v>
      </c>
      <c r="G14">
        <v>1</v>
      </c>
      <c r="H14">
        <v>10</v>
      </c>
      <c r="I14" t="s">
        <v>1073</v>
      </c>
      <c r="J14" s="24" t="s">
        <v>1068</v>
      </c>
      <c r="K14" t="str">
        <f t="shared" si="0"/>
        <v>16/KPTS/Gs/2026</v>
      </c>
      <c r="L14" t="s">
        <v>48</v>
      </c>
      <c r="M14" t="s">
        <v>138</v>
      </c>
      <c r="N14">
        <v>3203600</v>
      </c>
      <c r="O14" t="s">
        <v>492</v>
      </c>
      <c r="Q14" t="s">
        <v>540</v>
      </c>
      <c r="R14" t="s">
        <v>483</v>
      </c>
      <c r="T14">
        <v>0</v>
      </c>
      <c r="U14">
        <v>0</v>
      </c>
      <c r="V14">
        <v>3203600</v>
      </c>
      <c r="W14" t="s">
        <v>492</v>
      </c>
      <c r="X14" t="s">
        <v>540</v>
      </c>
      <c r="Y14" t="s">
        <v>483</v>
      </c>
      <c r="Z14" t="s">
        <v>50</v>
      </c>
      <c r="AA14">
        <v>0</v>
      </c>
      <c r="AB14">
        <v>0</v>
      </c>
      <c r="AC14">
        <v>3304400</v>
      </c>
      <c r="AD14" t="s">
        <v>494</v>
      </c>
      <c r="AE14">
        <v>2</v>
      </c>
      <c r="AF14">
        <v>0</v>
      </c>
      <c r="AG14" t="s">
        <v>53</v>
      </c>
      <c r="AH14" t="s">
        <v>72</v>
      </c>
      <c r="AI14" t="s">
        <v>73</v>
      </c>
      <c r="AJ14" t="s">
        <v>74</v>
      </c>
      <c r="AK14" t="s">
        <v>485</v>
      </c>
      <c r="AL14">
        <v>0</v>
      </c>
      <c r="AM14">
        <v>0</v>
      </c>
      <c r="AN14" t="s">
        <v>50</v>
      </c>
      <c r="AO14" t="s">
        <v>483</v>
      </c>
      <c r="AP14" t="s">
        <v>492</v>
      </c>
      <c r="AR14" t="s">
        <v>540</v>
      </c>
      <c r="AS14">
        <v>3203600</v>
      </c>
      <c r="AT14" t="s">
        <v>981</v>
      </c>
      <c r="AU14">
        <v>2</v>
      </c>
    </row>
    <row r="15" spans="1:48" x14ac:dyDescent="0.3">
      <c r="A15" t="s">
        <v>541</v>
      </c>
      <c r="B15" t="s">
        <v>542</v>
      </c>
      <c r="C15" t="s">
        <v>516</v>
      </c>
      <c r="D15" t="s">
        <v>517</v>
      </c>
      <c r="E15" t="s">
        <v>62</v>
      </c>
      <c r="F15" t="s">
        <v>137</v>
      </c>
      <c r="G15">
        <v>1</v>
      </c>
      <c r="H15">
        <v>10</v>
      </c>
      <c r="I15" t="s">
        <v>1073</v>
      </c>
      <c r="J15" s="24" t="s">
        <v>1069</v>
      </c>
      <c r="K15" t="str">
        <f t="shared" si="0"/>
        <v>17/KPTS/Gs/2026</v>
      </c>
      <c r="L15" t="s">
        <v>48</v>
      </c>
      <c r="M15" t="s">
        <v>138</v>
      </c>
      <c r="N15">
        <v>3480300</v>
      </c>
      <c r="O15" t="s">
        <v>518</v>
      </c>
      <c r="Q15" t="s">
        <v>543</v>
      </c>
      <c r="R15" t="s">
        <v>483</v>
      </c>
      <c r="T15">
        <v>0</v>
      </c>
      <c r="U15">
        <v>0</v>
      </c>
      <c r="V15">
        <v>3480300</v>
      </c>
      <c r="W15" t="s">
        <v>518</v>
      </c>
      <c r="X15" t="s">
        <v>543</v>
      </c>
      <c r="Y15" t="s">
        <v>483</v>
      </c>
      <c r="Z15" t="s">
        <v>50</v>
      </c>
      <c r="AA15">
        <v>0</v>
      </c>
      <c r="AB15">
        <v>0</v>
      </c>
      <c r="AC15">
        <v>3589900</v>
      </c>
      <c r="AD15" t="s">
        <v>520</v>
      </c>
      <c r="AE15">
        <v>2</v>
      </c>
      <c r="AF15">
        <v>0</v>
      </c>
      <c r="AG15" t="s">
        <v>53</v>
      </c>
      <c r="AH15" t="s">
        <v>72</v>
      </c>
      <c r="AI15" t="s">
        <v>73</v>
      </c>
      <c r="AJ15" t="s">
        <v>74</v>
      </c>
      <c r="AK15" t="s">
        <v>485</v>
      </c>
      <c r="AL15">
        <v>0</v>
      </c>
      <c r="AM15">
        <v>0</v>
      </c>
      <c r="AN15" t="s">
        <v>50</v>
      </c>
      <c r="AO15" t="s">
        <v>483</v>
      </c>
      <c r="AP15" t="s">
        <v>518</v>
      </c>
      <c r="AR15" t="s">
        <v>543</v>
      </c>
      <c r="AS15">
        <v>3480300</v>
      </c>
      <c r="AT15" t="s">
        <v>83</v>
      </c>
      <c r="AU15">
        <v>2</v>
      </c>
    </row>
    <row r="16" spans="1:48" x14ac:dyDescent="0.3">
      <c r="A16" t="s">
        <v>544</v>
      </c>
      <c r="B16" t="s">
        <v>545</v>
      </c>
      <c r="C16" t="s">
        <v>489</v>
      </c>
      <c r="D16" t="s">
        <v>490</v>
      </c>
      <c r="E16" t="s">
        <v>221</v>
      </c>
      <c r="F16" t="s">
        <v>162</v>
      </c>
      <c r="G16">
        <v>1</v>
      </c>
      <c r="H16">
        <v>10</v>
      </c>
      <c r="I16" t="s">
        <v>1073</v>
      </c>
      <c r="J16" s="24" t="s">
        <v>1070</v>
      </c>
      <c r="K16" t="str">
        <f t="shared" si="0"/>
        <v>18/KPTS/Gs/2026</v>
      </c>
      <c r="L16" t="s">
        <v>48</v>
      </c>
      <c r="M16" t="s">
        <v>163</v>
      </c>
      <c r="N16">
        <v>3203600</v>
      </c>
      <c r="O16" t="s">
        <v>492</v>
      </c>
      <c r="Q16" t="s">
        <v>546</v>
      </c>
      <c r="R16" t="s">
        <v>483</v>
      </c>
      <c r="S16" t="s">
        <v>50</v>
      </c>
      <c r="T16">
        <v>0</v>
      </c>
      <c r="U16">
        <v>0</v>
      </c>
      <c r="V16">
        <v>3203600</v>
      </c>
      <c r="W16" t="s">
        <v>492</v>
      </c>
      <c r="X16" t="s">
        <v>546</v>
      </c>
      <c r="Y16" t="s">
        <v>483</v>
      </c>
      <c r="Z16" t="s">
        <v>50</v>
      </c>
      <c r="AA16">
        <v>0</v>
      </c>
      <c r="AB16">
        <v>0</v>
      </c>
      <c r="AC16">
        <v>3304400</v>
      </c>
      <c r="AD16" t="s">
        <v>494</v>
      </c>
      <c r="AE16">
        <v>2</v>
      </c>
      <c r="AF16">
        <v>0</v>
      </c>
      <c r="AG16" t="s">
        <v>53</v>
      </c>
      <c r="AH16" t="s">
        <v>72</v>
      </c>
      <c r="AI16" t="s">
        <v>73</v>
      </c>
      <c r="AJ16" t="s">
        <v>74</v>
      </c>
      <c r="AK16" t="s">
        <v>485</v>
      </c>
      <c r="AL16">
        <v>0</v>
      </c>
      <c r="AM16">
        <v>0</v>
      </c>
      <c r="AN16" t="s">
        <v>50</v>
      </c>
      <c r="AO16" t="s">
        <v>483</v>
      </c>
      <c r="AP16" t="s">
        <v>492</v>
      </c>
      <c r="AQ16" t="s">
        <v>486</v>
      </c>
      <c r="AR16" t="s">
        <v>546</v>
      </c>
      <c r="AS16">
        <v>3203600</v>
      </c>
      <c r="AT16" t="s">
        <v>983</v>
      </c>
      <c r="AU16">
        <v>2</v>
      </c>
    </row>
    <row r="17" spans="1:47" x14ac:dyDescent="0.3">
      <c r="A17" t="s">
        <v>547</v>
      </c>
      <c r="B17" t="s">
        <v>548</v>
      </c>
      <c r="C17" t="s">
        <v>489</v>
      </c>
      <c r="D17" t="s">
        <v>490</v>
      </c>
      <c r="E17" t="s">
        <v>80</v>
      </c>
      <c r="F17" t="s">
        <v>162</v>
      </c>
      <c r="G17">
        <v>1</v>
      </c>
      <c r="H17">
        <v>10</v>
      </c>
      <c r="I17" t="s">
        <v>1073</v>
      </c>
      <c r="J17" s="24" t="s">
        <v>1071</v>
      </c>
      <c r="K17" t="str">
        <f t="shared" si="0"/>
        <v>19/KPTS/Gs/2026</v>
      </c>
      <c r="L17" t="s">
        <v>81</v>
      </c>
      <c r="M17" t="s">
        <v>163</v>
      </c>
      <c r="N17">
        <v>3203600</v>
      </c>
      <c r="O17" t="s">
        <v>492</v>
      </c>
      <c r="Q17" t="s">
        <v>549</v>
      </c>
      <c r="R17" t="s">
        <v>483</v>
      </c>
      <c r="S17" t="s">
        <v>50</v>
      </c>
      <c r="T17">
        <v>0</v>
      </c>
      <c r="U17">
        <v>0</v>
      </c>
      <c r="V17">
        <v>3203600</v>
      </c>
      <c r="W17" t="s">
        <v>492</v>
      </c>
      <c r="X17" t="s">
        <v>549</v>
      </c>
      <c r="Y17" t="s">
        <v>483</v>
      </c>
      <c r="Z17" t="s">
        <v>50</v>
      </c>
      <c r="AA17">
        <v>0</v>
      </c>
      <c r="AB17">
        <v>0</v>
      </c>
      <c r="AC17">
        <v>3304400</v>
      </c>
      <c r="AD17" t="s">
        <v>494</v>
      </c>
      <c r="AE17">
        <v>2</v>
      </c>
      <c r="AF17">
        <v>0</v>
      </c>
      <c r="AG17" t="s">
        <v>53</v>
      </c>
      <c r="AH17" t="s">
        <v>72</v>
      </c>
      <c r="AI17" t="s">
        <v>73</v>
      </c>
      <c r="AJ17" t="s">
        <v>74</v>
      </c>
      <c r="AK17" t="s">
        <v>485</v>
      </c>
      <c r="AL17">
        <v>0</v>
      </c>
      <c r="AM17">
        <v>0</v>
      </c>
      <c r="AN17" t="s">
        <v>50</v>
      </c>
      <c r="AO17" t="s">
        <v>483</v>
      </c>
      <c r="AP17" t="s">
        <v>492</v>
      </c>
      <c r="AQ17" t="s">
        <v>486</v>
      </c>
      <c r="AR17" t="s">
        <v>549</v>
      </c>
      <c r="AS17">
        <v>3203600</v>
      </c>
      <c r="AT17" t="s">
        <v>83</v>
      </c>
      <c r="AU17">
        <v>2</v>
      </c>
    </row>
    <row r="18" spans="1:47" x14ac:dyDescent="0.3">
      <c r="A18" t="s">
        <v>550</v>
      </c>
      <c r="B18" t="s">
        <v>551</v>
      </c>
      <c r="C18" t="s">
        <v>489</v>
      </c>
      <c r="D18" t="s">
        <v>490</v>
      </c>
      <c r="E18" t="s">
        <v>80</v>
      </c>
      <c r="F18" t="s">
        <v>162</v>
      </c>
      <c r="G18">
        <v>1</v>
      </c>
      <c r="H18">
        <v>10</v>
      </c>
      <c r="I18" t="s">
        <v>1073</v>
      </c>
      <c r="J18" s="24" t="s">
        <v>1072</v>
      </c>
      <c r="K18" t="str">
        <f t="shared" si="0"/>
        <v>20/KPTS/Gs/2026</v>
      </c>
      <c r="L18" t="s">
        <v>81</v>
      </c>
      <c r="M18" t="s">
        <v>163</v>
      </c>
      <c r="N18">
        <v>3203600</v>
      </c>
      <c r="O18" t="s">
        <v>492</v>
      </c>
      <c r="Q18" t="s">
        <v>552</v>
      </c>
      <c r="R18" t="s">
        <v>483</v>
      </c>
      <c r="S18" t="s">
        <v>50</v>
      </c>
      <c r="T18">
        <v>0</v>
      </c>
      <c r="U18">
        <v>0</v>
      </c>
      <c r="V18">
        <v>3203600</v>
      </c>
      <c r="W18" t="s">
        <v>492</v>
      </c>
      <c r="X18" t="s">
        <v>552</v>
      </c>
      <c r="Y18" t="s">
        <v>483</v>
      </c>
      <c r="Z18" t="s">
        <v>50</v>
      </c>
      <c r="AA18">
        <v>0</v>
      </c>
      <c r="AB18">
        <v>0</v>
      </c>
      <c r="AC18">
        <v>3304400</v>
      </c>
      <c r="AD18" t="s">
        <v>494</v>
      </c>
      <c r="AE18">
        <v>2</v>
      </c>
      <c r="AF18">
        <v>0</v>
      </c>
      <c r="AG18" t="s">
        <v>53</v>
      </c>
      <c r="AH18" t="s">
        <v>72</v>
      </c>
      <c r="AI18" t="s">
        <v>73</v>
      </c>
      <c r="AJ18" t="s">
        <v>74</v>
      </c>
      <c r="AK18" t="s">
        <v>485</v>
      </c>
      <c r="AL18">
        <v>0</v>
      </c>
      <c r="AM18">
        <v>0</v>
      </c>
      <c r="AN18" t="s">
        <v>50</v>
      </c>
      <c r="AO18" t="s">
        <v>483</v>
      </c>
      <c r="AP18" t="s">
        <v>492</v>
      </c>
      <c r="AQ18" t="s">
        <v>486</v>
      </c>
      <c r="AR18" t="s">
        <v>552</v>
      </c>
      <c r="AS18">
        <v>3203600</v>
      </c>
      <c r="AT18" t="s">
        <v>83</v>
      </c>
      <c r="AU18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66BF4-56D0-467C-B38A-209C74286F98}">
  <sheetPr filterMode="1"/>
  <dimension ref="A1:AV18"/>
  <sheetViews>
    <sheetView topLeftCell="AR1" workbookViewId="0">
      <selection activeCell="AV17" sqref="AV17"/>
    </sheetView>
  </sheetViews>
  <sheetFormatPr defaultRowHeight="14.4" x14ac:dyDescent="0.3"/>
  <cols>
    <col min="1" max="1" width="29.5546875" bestFit="1" customWidth="1"/>
    <col min="2" max="2" width="19.21875" bestFit="1" customWidth="1"/>
    <col min="3" max="3" width="12.33203125" bestFit="1" customWidth="1"/>
    <col min="4" max="4" width="13.33203125" bestFit="1" customWidth="1"/>
    <col min="5" max="5" width="60.88671875" bestFit="1" customWidth="1"/>
    <col min="6" max="6" width="85.88671875" bestFit="1" customWidth="1"/>
    <col min="7" max="7" width="21.21875" bestFit="1" customWidth="1"/>
    <col min="8" max="8" width="21" bestFit="1" customWidth="1"/>
    <col min="9" max="9" width="16.88671875" bestFit="1" customWidth="1"/>
    <col min="10" max="10" width="20.44140625" bestFit="1" customWidth="1"/>
    <col min="11" max="11" width="13.6640625" bestFit="1" customWidth="1"/>
    <col min="12" max="12" width="33.109375" bestFit="1" customWidth="1"/>
    <col min="13" max="13" width="84.109375" bestFit="1" customWidth="1"/>
    <col min="14" max="14" width="26.6640625" bestFit="1" customWidth="1"/>
    <col min="15" max="15" width="56.77734375" bestFit="1" customWidth="1"/>
    <col min="16" max="16" width="44.88671875" bestFit="1" customWidth="1"/>
    <col min="17" max="17" width="28.6640625" bestFit="1" customWidth="1"/>
    <col min="18" max="18" width="32.77734375" bestFit="1" customWidth="1"/>
    <col min="19" max="19" width="37.44140625" bestFit="1" customWidth="1"/>
    <col min="20" max="20" width="39.6640625" bestFit="1" customWidth="1"/>
    <col min="21" max="21" width="39.44140625" bestFit="1" customWidth="1"/>
    <col min="22" max="22" width="24.109375" bestFit="1" customWidth="1"/>
    <col min="23" max="23" width="56.77734375" bestFit="1" customWidth="1"/>
    <col min="24" max="24" width="26.21875" bestFit="1" customWidth="1"/>
    <col min="25" max="25" width="30.33203125" bestFit="1" customWidth="1"/>
    <col min="26" max="26" width="32.5546875" bestFit="1" customWidth="1"/>
    <col min="27" max="27" width="37.109375" bestFit="1" customWidth="1"/>
    <col min="28" max="28" width="36.88671875" bestFit="1" customWidth="1"/>
    <col min="29" max="29" width="13.33203125" bestFit="1" customWidth="1"/>
    <col min="30" max="30" width="47.33203125" bestFit="1" customWidth="1"/>
    <col min="31" max="31" width="26.33203125" bestFit="1" customWidth="1"/>
    <col min="32" max="32" width="26.109375" bestFit="1" customWidth="1"/>
    <col min="33" max="33" width="22.44140625" bestFit="1" customWidth="1"/>
    <col min="34" max="34" width="41.88671875" bestFit="1" customWidth="1"/>
    <col min="35" max="35" width="37.44140625" bestFit="1" customWidth="1"/>
    <col min="36" max="36" width="35.33203125" bestFit="1" customWidth="1"/>
    <col min="37" max="37" width="10.44140625" bestFit="1" customWidth="1"/>
    <col min="38" max="38" width="35.33203125" bestFit="1" customWidth="1"/>
    <col min="39" max="39" width="35.109375" bestFit="1" customWidth="1"/>
    <col min="40" max="40" width="31.44140625" bestFit="1" customWidth="1"/>
    <col min="41" max="41" width="28.44140625" bestFit="1" customWidth="1"/>
    <col min="42" max="42" width="56.77734375" bestFit="1" customWidth="1"/>
    <col min="43" max="43" width="28.88671875" bestFit="1" customWidth="1"/>
    <col min="44" max="44" width="24.33203125" bestFit="1" customWidth="1"/>
    <col min="45" max="45" width="22.33203125" bestFit="1" customWidth="1"/>
    <col min="46" max="46" width="46.6640625" bestFit="1" customWidth="1"/>
    <col min="47" max="47" width="41.44140625" bestFit="1" customWidth="1"/>
    <col min="48" max="48" width="15.44140625" bestFit="1" customWidth="1"/>
  </cols>
  <sheetData>
    <row r="1" spans="1: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6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22" t="s">
        <v>1053</v>
      </c>
    </row>
    <row r="2" spans="1:48" hidden="1" x14ac:dyDescent="0.3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>
        <v>7</v>
      </c>
      <c r="H2">
        <v>10</v>
      </c>
      <c r="I2" t="s">
        <v>962</v>
      </c>
      <c r="J2" t="s">
        <v>963</v>
      </c>
      <c r="K2" t="s">
        <v>48</v>
      </c>
      <c r="L2" t="str">
        <f>_xlfn.CONCAT(K2, " ",A2)</f>
        <v>Sdr. Gede Oka Wiranatha, S.T., M.Sc.</v>
      </c>
      <c r="M2" t="s">
        <v>65</v>
      </c>
      <c r="N2">
        <v>3321400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>
        <v>6</v>
      </c>
      <c r="U2">
        <v>9</v>
      </c>
      <c r="V2">
        <v>3321400</v>
      </c>
      <c r="W2" t="s">
        <v>66</v>
      </c>
      <c r="X2" t="s">
        <v>68</v>
      </c>
      <c r="Y2" t="s">
        <v>69</v>
      </c>
      <c r="Z2" t="s">
        <v>70</v>
      </c>
      <c r="AA2">
        <v>6</v>
      </c>
      <c r="AB2">
        <v>9</v>
      </c>
      <c r="AC2">
        <v>3426000</v>
      </c>
      <c r="AD2" t="s">
        <v>71</v>
      </c>
      <c r="AE2">
        <v>8</v>
      </c>
      <c r="AF2">
        <v>0</v>
      </c>
      <c r="AG2" t="s">
        <v>53</v>
      </c>
      <c r="AH2" t="s">
        <v>72</v>
      </c>
      <c r="AI2" t="s">
        <v>73</v>
      </c>
      <c r="AJ2" t="s">
        <v>74</v>
      </c>
      <c r="AK2" t="s">
        <v>56</v>
      </c>
      <c r="AL2">
        <v>6</v>
      </c>
      <c r="AM2">
        <v>9</v>
      </c>
      <c r="AN2" t="s">
        <v>70</v>
      </c>
      <c r="AO2" s="4" t="s">
        <v>69</v>
      </c>
      <c r="AP2" t="s">
        <v>66</v>
      </c>
      <c r="AQ2" t="s">
        <v>75</v>
      </c>
      <c r="AR2" t="s">
        <v>68</v>
      </c>
      <c r="AS2">
        <v>3321400</v>
      </c>
      <c r="AT2" t="s">
        <v>959</v>
      </c>
      <c r="AU2">
        <v>2</v>
      </c>
      <c r="AV2" s="3"/>
    </row>
    <row r="3" spans="1:48" hidden="1" x14ac:dyDescent="0.3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63</v>
      </c>
      <c r="G3">
        <v>3</v>
      </c>
      <c r="H3">
        <v>10</v>
      </c>
      <c r="I3" t="s">
        <v>962</v>
      </c>
      <c r="J3" t="s">
        <v>964</v>
      </c>
      <c r="K3" t="s">
        <v>81</v>
      </c>
      <c r="L3" t="str">
        <f t="shared" ref="L3:L18" si="0">_xlfn.CONCAT(K3, " ",A3)</f>
        <v>Sdri. Febrianda Damayanti, S.T.</v>
      </c>
      <c r="M3" t="s">
        <v>65</v>
      </c>
      <c r="N3">
        <v>2873500</v>
      </c>
      <c r="O3" t="s">
        <v>82</v>
      </c>
      <c r="P3" t="s">
        <v>83</v>
      </c>
      <c r="Q3" t="s">
        <v>84</v>
      </c>
      <c r="R3" t="s">
        <v>85</v>
      </c>
      <c r="S3" t="s">
        <v>50</v>
      </c>
      <c r="T3">
        <v>2</v>
      </c>
      <c r="U3">
        <v>0</v>
      </c>
      <c r="V3">
        <v>2579400</v>
      </c>
      <c r="W3" t="s">
        <v>86</v>
      </c>
      <c r="X3" t="s">
        <v>87</v>
      </c>
      <c r="Y3" t="s">
        <v>88</v>
      </c>
      <c r="Z3" t="s">
        <v>89</v>
      </c>
      <c r="AA3">
        <v>1</v>
      </c>
      <c r="AB3">
        <v>0</v>
      </c>
      <c r="AC3">
        <v>2964000</v>
      </c>
      <c r="AD3" t="s">
        <v>90</v>
      </c>
      <c r="AE3">
        <v>4</v>
      </c>
      <c r="AF3">
        <v>0</v>
      </c>
      <c r="AG3" t="s">
        <v>53</v>
      </c>
      <c r="AH3" t="s">
        <v>72</v>
      </c>
      <c r="AI3" t="s">
        <v>73</v>
      </c>
      <c r="AJ3" t="s">
        <v>74</v>
      </c>
      <c r="AK3" t="s">
        <v>56</v>
      </c>
      <c r="AL3">
        <v>2</v>
      </c>
      <c r="AM3">
        <v>0</v>
      </c>
      <c r="AN3" t="s">
        <v>50</v>
      </c>
      <c r="AO3" s="4" t="s">
        <v>85</v>
      </c>
      <c r="AP3" t="s">
        <v>82</v>
      </c>
      <c r="AQ3" t="s">
        <v>57</v>
      </c>
      <c r="AR3" t="s">
        <v>84</v>
      </c>
      <c r="AS3">
        <v>2873500</v>
      </c>
      <c r="AT3" t="s">
        <v>83</v>
      </c>
      <c r="AU3">
        <v>2</v>
      </c>
      <c r="AV3" s="3"/>
    </row>
    <row r="4" spans="1:48" hidden="1" x14ac:dyDescent="0.3">
      <c r="A4" t="s">
        <v>91</v>
      </c>
      <c r="B4" t="s">
        <v>92</v>
      </c>
      <c r="C4" t="s">
        <v>78</v>
      </c>
      <c r="D4" t="s">
        <v>79</v>
      </c>
      <c r="E4" t="s">
        <v>93</v>
      </c>
      <c r="F4" t="s">
        <v>63</v>
      </c>
      <c r="G4">
        <v>3</v>
      </c>
      <c r="H4">
        <v>10</v>
      </c>
      <c r="I4" t="s">
        <v>962</v>
      </c>
      <c r="J4" t="s">
        <v>965</v>
      </c>
      <c r="K4" t="s">
        <v>48</v>
      </c>
      <c r="L4" t="str">
        <f t="shared" si="0"/>
        <v>Sdr. Muhammad Wahyudi Fortuna, S.T.</v>
      </c>
      <c r="M4" t="s">
        <v>65</v>
      </c>
      <c r="N4">
        <v>2579400</v>
      </c>
      <c r="O4" t="s">
        <v>86</v>
      </c>
      <c r="P4" t="s">
        <v>94</v>
      </c>
      <c r="Q4" t="s">
        <v>95</v>
      </c>
      <c r="R4" t="s">
        <v>88</v>
      </c>
      <c r="S4" t="s">
        <v>89</v>
      </c>
      <c r="T4">
        <v>1</v>
      </c>
      <c r="U4">
        <v>0</v>
      </c>
      <c r="V4">
        <v>2579400</v>
      </c>
      <c r="W4" t="s">
        <v>86</v>
      </c>
      <c r="X4" t="s">
        <v>95</v>
      </c>
      <c r="Y4" t="s">
        <v>88</v>
      </c>
      <c r="Z4" t="s">
        <v>89</v>
      </c>
      <c r="AA4">
        <v>1</v>
      </c>
      <c r="AB4">
        <v>0</v>
      </c>
      <c r="AC4">
        <v>2964000</v>
      </c>
      <c r="AD4" t="s">
        <v>90</v>
      </c>
      <c r="AE4">
        <v>4</v>
      </c>
      <c r="AF4">
        <v>0</v>
      </c>
      <c r="AG4" t="s">
        <v>53</v>
      </c>
      <c r="AH4" t="s">
        <v>72</v>
      </c>
      <c r="AI4" t="s">
        <v>73</v>
      </c>
      <c r="AJ4" t="s">
        <v>74</v>
      </c>
      <c r="AK4" t="s">
        <v>56</v>
      </c>
      <c r="AL4">
        <v>1</v>
      </c>
      <c r="AM4">
        <v>0</v>
      </c>
      <c r="AN4" t="s">
        <v>89</v>
      </c>
      <c r="AO4" s="4" t="s">
        <v>88</v>
      </c>
      <c r="AP4" t="s">
        <v>86</v>
      </c>
      <c r="AQ4" t="s">
        <v>96</v>
      </c>
      <c r="AR4" t="s">
        <v>95</v>
      </c>
      <c r="AS4">
        <v>2579400</v>
      </c>
      <c r="AT4" t="s">
        <v>959</v>
      </c>
      <c r="AU4">
        <v>3</v>
      </c>
      <c r="AV4" s="3"/>
    </row>
    <row r="5" spans="1:48" hidden="1" x14ac:dyDescent="0.3">
      <c r="A5" t="s">
        <v>97</v>
      </c>
      <c r="B5" t="s">
        <v>98</v>
      </c>
      <c r="C5" t="s">
        <v>78</v>
      </c>
      <c r="D5" t="s">
        <v>79</v>
      </c>
      <c r="E5" t="s">
        <v>80</v>
      </c>
      <c r="F5" t="s">
        <v>99</v>
      </c>
      <c r="G5">
        <v>3</v>
      </c>
      <c r="H5">
        <v>10</v>
      </c>
      <c r="I5" t="s">
        <v>962</v>
      </c>
      <c r="J5" t="s">
        <v>966</v>
      </c>
      <c r="K5" t="s">
        <v>81</v>
      </c>
      <c r="L5" t="str">
        <f t="shared" si="0"/>
        <v>Sdri. Felicia Tasmica Izzatudina, S.T.</v>
      </c>
      <c r="M5" t="s">
        <v>100</v>
      </c>
      <c r="N5">
        <v>2873500</v>
      </c>
      <c r="O5" t="s">
        <v>82</v>
      </c>
      <c r="P5" t="s">
        <v>83</v>
      </c>
      <c r="Q5" t="s">
        <v>101</v>
      </c>
      <c r="R5" t="s">
        <v>85</v>
      </c>
      <c r="S5" t="s">
        <v>50</v>
      </c>
      <c r="T5">
        <v>2</v>
      </c>
      <c r="U5">
        <v>0</v>
      </c>
      <c r="V5">
        <v>2579400</v>
      </c>
      <c r="W5" t="s">
        <v>86</v>
      </c>
      <c r="X5" t="s">
        <v>102</v>
      </c>
      <c r="Y5" t="s">
        <v>88</v>
      </c>
      <c r="Z5" t="s">
        <v>89</v>
      </c>
      <c r="AA5">
        <v>1</v>
      </c>
      <c r="AB5">
        <v>0</v>
      </c>
      <c r="AC5">
        <v>2964000</v>
      </c>
      <c r="AD5" t="s">
        <v>90</v>
      </c>
      <c r="AE5">
        <v>4</v>
      </c>
      <c r="AF5">
        <v>0</v>
      </c>
      <c r="AG5" t="s">
        <v>53</v>
      </c>
      <c r="AH5" t="s">
        <v>72</v>
      </c>
      <c r="AI5" t="s">
        <v>73</v>
      </c>
      <c r="AJ5" t="s">
        <v>74</v>
      </c>
      <c r="AK5" t="s">
        <v>56</v>
      </c>
      <c r="AL5">
        <v>2</v>
      </c>
      <c r="AM5">
        <v>0</v>
      </c>
      <c r="AN5" t="s">
        <v>50</v>
      </c>
      <c r="AO5" s="4" t="s">
        <v>85</v>
      </c>
      <c r="AP5" t="s">
        <v>82</v>
      </c>
      <c r="AQ5" t="s">
        <v>57</v>
      </c>
      <c r="AR5" t="s">
        <v>101</v>
      </c>
      <c r="AS5">
        <v>2873500</v>
      </c>
      <c r="AT5" t="s">
        <v>83</v>
      </c>
      <c r="AU5">
        <v>2</v>
      </c>
      <c r="AV5" s="3"/>
    </row>
    <row r="6" spans="1:48" hidden="1" x14ac:dyDescent="0.3">
      <c r="A6" t="s">
        <v>103</v>
      </c>
      <c r="B6" t="s">
        <v>104</v>
      </c>
      <c r="C6" t="s">
        <v>78</v>
      </c>
      <c r="D6" t="s">
        <v>79</v>
      </c>
      <c r="E6" t="s">
        <v>80</v>
      </c>
      <c r="F6" t="s">
        <v>99</v>
      </c>
      <c r="G6">
        <v>3</v>
      </c>
      <c r="H6">
        <v>10</v>
      </c>
      <c r="I6" t="s">
        <v>962</v>
      </c>
      <c r="J6" t="s">
        <v>967</v>
      </c>
      <c r="K6" t="s">
        <v>81</v>
      </c>
      <c r="L6" t="str">
        <f t="shared" si="0"/>
        <v>Sdri. Gandhes Faizah Ramadhani, S.T.</v>
      </c>
      <c r="M6" t="s">
        <v>100</v>
      </c>
      <c r="N6">
        <v>2873500</v>
      </c>
      <c r="O6" t="s">
        <v>82</v>
      </c>
      <c r="P6" t="s">
        <v>83</v>
      </c>
      <c r="Q6" t="s">
        <v>105</v>
      </c>
      <c r="R6" t="s">
        <v>106</v>
      </c>
      <c r="S6" t="s">
        <v>50</v>
      </c>
      <c r="T6">
        <v>2</v>
      </c>
      <c r="U6">
        <v>0</v>
      </c>
      <c r="V6">
        <v>2579400</v>
      </c>
      <c r="W6" t="s">
        <v>86</v>
      </c>
      <c r="X6" t="s">
        <v>107</v>
      </c>
      <c r="Y6" t="s">
        <v>88</v>
      </c>
      <c r="Z6" t="s">
        <v>89</v>
      </c>
      <c r="AA6">
        <v>1</v>
      </c>
      <c r="AB6">
        <v>0</v>
      </c>
      <c r="AC6">
        <v>2964000</v>
      </c>
      <c r="AD6" t="s">
        <v>90</v>
      </c>
      <c r="AE6">
        <v>4</v>
      </c>
      <c r="AF6">
        <v>0</v>
      </c>
      <c r="AG6" t="s">
        <v>53</v>
      </c>
      <c r="AH6" t="s">
        <v>72</v>
      </c>
      <c r="AI6" t="s">
        <v>73</v>
      </c>
      <c r="AJ6" t="s">
        <v>74</v>
      </c>
      <c r="AK6" t="s">
        <v>56</v>
      </c>
      <c r="AL6">
        <v>2</v>
      </c>
      <c r="AM6">
        <v>0</v>
      </c>
      <c r="AN6" t="s">
        <v>50</v>
      </c>
      <c r="AO6" s="4" t="s">
        <v>106</v>
      </c>
      <c r="AP6" t="s">
        <v>82</v>
      </c>
      <c r="AQ6" t="s">
        <v>57</v>
      </c>
      <c r="AR6" t="s">
        <v>105</v>
      </c>
      <c r="AS6">
        <v>2873500</v>
      </c>
      <c r="AT6" t="s">
        <v>83</v>
      </c>
      <c r="AU6">
        <v>2</v>
      </c>
      <c r="AV6" s="3"/>
    </row>
    <row r="7" spans="1:48" hidden="1" x14ac:dyDescent="0.3">
      <c r="A7" t="s">
        <v>108</v>
      </c>
      <c r="B7" t="s">
        <v>109</v>
      </c>
      <c r="C7" t="s">
        <v>78</v>
      </c>
      <c r="D7" t="s">
        <v>79</v>
      </c>
      <c r="E7" t="s">
        <v>80</v>
      </c>
      <c r="F7" t="s">
        <v>99</v>
      </c>
      <c r="G7">
        <v>3</v>
      </c>
      <c r="H7">
        <v>10</v>
      </c>
      <c r="I7" t="s">
        <v>962</v>
      </c>
      <c r="J7" t="s">
        <v>968</v>
      </c>
      <c r="K7" t="s">
        <v>48</v>
      </c>
      <c r="L7" t="str">
        <f t="shared" si="0"/>
        <v>Sdr. I Nengah Gandi Wirotama, S.T.</v>
      </c>
      <c r="M7" t="s">
        <v>100</v>
      </c>
      <c r="N7">
        <v>2873500</v>
      </c>
      <c r="O7" t="s">
        <v>82</v>
      </c>
      <c r="P7" t="s">
        <v>83</v>
      </c>
      <c r="Q7" t="s">
        <v>110</v>
      </c>
      <c r="R7" t="s">
        <v>111</v>
      </c>
      <c r="S7" t="s">
        <v>50</v>
      </c>
      <c r="T7">
        <v>2</v>
      </c>
      <c r="U7">
        <v>0</v>
      </c>
      <c r="V7">
        <v>2579400</v>
      </c>
      <c r="W7" t="s">
        <v>86</v>
      </c>
      <c r="X7" t="s">
        <v>112</v>
      </c>
      <c r="Y7" t="s">
        <v>88</v>
      </c>
      <c r="Z7" t="s">
        <v>89</v>
      </c>
      <c r="AA7">
        <v>1</v>
      </c>
      <c r="AB7">
        <v>0</v>
      </c>
      <c r="AC7">
        <v>2964000</v>
      </c>
      <c r="AD7" t="s">
        <v>90</v>
      </c>
      <c r="AE7">
        <v>4</v>
      </c>
      <c r="AF7">
        <v>0</v>
      </c>
      <c r="AG7" t="s">
        <v>53</v>
      </c>
      <c r="AH7" t="s">
        <v>72</v>
      </c>
      <c r="AI7" t="s">
        <v>73</v>
      </c>
      <c r="AJ7" t="s">
        <v>74</v>
      </c>
      <c r="AK7" t="s">
        <v>56</v>
      </c>
      <c r="AL7">
        <v>2</v>
      </c>
      <c r="AM7">
        <v>0</v>
      </c>
      <c r="AN7" t="s">
        <v>50</v>
      </c>
      <c r="AO7" s="4" t="s">
        <v>111</v>
      </c>
      <c r="AP7" t="s">
        <v>82</v>
      </c>
      <c r="AQ7" t="s">
        <v>57</v>
      </c>
      <c r="AR7" t="s">
        <v>110</v>
      </c>
      <c r="AS7">
        <v>2873500</v>
      </c>
      <c r="AT7" t="s">
        <v>83</v>
      </c>
      <c r="AU7">
        <v>2</v>
      </c>
      <c r="AV7" s="3"/>
    </row>
    <row r="8" spans="1:48" hidden="1" x14ac:dyDescent="0.3">
      <c r="A8" t="s">
        <v>113</v>
      </c>
      <c r="B8" t="s">
        <v>114</v>
      </c>
      <c r="C8" t="s">
        <v>78</v>
      </c>
      <c r="D8" t="s">
        <v>79</v>
      </c>
      <c r="E8" t="s">
        <v>80</v>
      </c>
      <c r="F8" t="s">
        <v>99</v>
      </c>
      <c r="G8">
        <v>3</v>
      </c>
      <c r="H8">
        <v>10</v>
      </c>
      <c r="I8" t="s">
        <v>962</v>
      </c>
      <c r="J8" t="s">
        <v>969</v>
      </c>
      <c r="K8" t="s">
        <v>48</v>
      </c>
      <c r="L8" t="str">
        <f t="shared" si="0"/>
        <v>Sdr. I Putu Eka Darmawan, S.T.</v>
      </c>
      <c r="M8" t="s">
        <v>100</v>
      </c>
      <c r="N8">
        <v>2873500</v>
      </c>
      <c r="O8" t="s">
        <v>82</v>
      </c>
      <c r="P8" t="s">
        <v>83</v>
      </c>
      <c r="Q8" t="s">
        <v>115</v>
      </c>
      <c r="R8" t="s">
        <v>111</v>
      </c>
      <c r="S8" t="s">
        <v>50</v>
      </c>
      <c r="T8">
        <v>2</v>
      </c>
      <c r="U8">
        <v>0</v>
      </c>
      <c r="V8">
        <v>2579400</v>
      </c>
      <c r="W8" t="s">
        <v>86</v>
      </c>
      <c r="X8" t="s">
        <v>116</v>
      </c>
      <c r="Y8" t="s">
        <v>88</v>
      </c>
      <c r="Z8" t="s">
        <v>89</v>
      </c>
      <c r="AA8">
        <v>1</v>
      </c>
      <c r="AB8">
        <v>0</v>
      </c>
      <c r="AC8">
        <v>2964000</v>
      </c>
      <c r="AD8" t="s">
        <v>90</v>
      </c>
      <c r="AE8">
        <v>4</v>
      </c>
      <c r="AF8">
        <v>0</v>
      </c>
      <c r="AG8" t="s">
        <v>53</v>
      </c>
      <c r="AH8" t="s">
        <v>72</v>
      </c>
      <c r="AI8" t="s">
        <v>73</v>
      </c>
      <c r="AJ8" t="s">
        <v>74</v>
      </c>
      <c r="AK8" t="s">
        <v>56</v>
      </c>
      <c r="AL8">
        <v>2</v>
      </c>
      <c r="AM8">
        <v>0</v>
      </c>
      <c r="AN8" t="s">
        <v>50</v>
      </c>
      <c r="AO8" s="4" t="s">
        <v>111</v>
      </c>
      <c r="AP8" t="s">
        <v>82</v>
      </c>
      <c r="AQ8" t="s">
        <v>57</v>
      </c>
      <c r="AR8" t="s">
        <v>115</v>
      </c>
      <c r="AS8">
        <v>2873500</v>
      </c>
      <c r="AT8" t="s">
        <v>83</v>
      </c>
      <c r="AU8">
        <v>2</v>
      </c>
      <c r="AV8" s="3"/>
    </row>
    <row r="9" spans="1:48" hidden="1" x14ac:dyDescent="0.3">
      <c r="A9" t="s">
        <v>117</v>
      </c>
      <c r="B9" t="s">
        <v>118</v>
      </c>
      <c r="C9" t="s">
        <v>78</v>
      </c>
      <c r="D9" t="s">
        <v>79</v>
      </c>
      <c r="E9" t="s">
        <v>80</v>
      </c>
      <c r="F9" t="s">
        <v>99</v>
      </c>
      <c r="G9">
        <v>3</v>
      </c>
      <c r="H9">
        <v>10</v>
      </c>
      <c r="I9" t="s">
        <v>962</v>
      </c>
      <c r="J9" t="s">
        <v>970</v>
      </c>
      <c r="K9" t="s">
        <v>81</v>
      </c>
      <c r="L9" t="str">
        <f t="shared" si="0"/>
        <v>Sdri. Isna Saadah, S.Tr.T</v>
      </c>
      <c r="M9" t="s">
        <v>100</v>
      </c>
      <c r="N9">
        <v>2873500</v>
      </c>
      <c r="O9" t="s">
        <v>82</v>
      </c>
      <c r="P9" t="s">
        <v>119</v>
      </c>
      <c r="Q9" t="s">
        <v>120</v>
      </c>
      <c r="R9" t="s">
        <v>106</v>
      </c>
      <c r="S9" t="s">
        <v>50</v>
      </c>
      <c r="T9">
        <v>2</v>
      </c>
      <c r="U9">
        <v>0</v>
      </c>
      <c r="V9">
        <v>2579400</v>
      </c>
      <c r="W9" t="s">
        <v>86</v>
      </c>
      <c r="X9" t="s">
        <v>121</v>
      </c>
      <c r="Y9" t="s">
        <v>88</v>
      </c>
      <c r="Z9" t="s">
        <v>89</v>
      </c>
      <c r="AA9">
        <v>1</v>
      </c>
      <c r="AB9">
        <v>0</v>
      </c>
      <c r="AC9">
        <v>2964000</v>
      </c>
      <c r="AD9" t="s">
        <v>90</v>
      </c>
      <c r="AE9">
        <v>4</v>
      </c>
      <c r="AF9">
        <v>0</v>
      </c>
      <c r="AG9" t="s">
        <v>53</v>
      </c>
      <c r="AH9" t="s">
        <v>72</v>
      </c>
      <c r="AI9" t="s">
        <v>73</v>
      </c>
      <c r="AJ9" t="s">
        <v>74</v>
      </c>
      <c r="AK9" t="s">
        <v>56</v>
      </c>
      <c r="AL9">
        <v>2</v>
      </c>
      <c r="AM9">
        <v>0</v>
      </c>
      <c r="AN9" t="s">
        <v>50</v>
      </c>
      <c r="AO9" s="4" t="s">
        <v>106</v>
      </c>
      <c r="AP9" t="s">
        <v>82</v>
      </c>
      <c r="AQ9" t="s">
        <v>57</v>
      </c>
      <c r="AR9" t="s">
        <v>120</v>
      </c>
      <c r="AS9">
        <v>2873500</v>
      </c>
      <c r="AT9" t="s">
        <v>83</v>
      </c>
      <c r="AU9">
        <v>2</v>
      </c>
      <c r="AV9" s="3"/>
    </row>
    <row r="10" spans="1:48" hidden="1" x14ac:dyDescent="0.3">
      <c r="A10" t="s">
        <v>122</v>
      </c>
      <c r="B10" t="s">
        <v>123</v>
      </c>
      <c r="C10" t="s">
        <v>78</v>
      </c>
      <c r="D10" t="s">
        <v>79</v>
      </c>
      <c r="E10" t="s">
        <v>80</v>
      </c>
      <c r="F10" t="s">
        <v>99</v>
      </c>
      <c r="G10">
        <v>3</v>
      </c>
      <c r="H10">
        <v>10</v>
      </c>
      <c r="I10" t="s">
        <v>962</v>
      </c>
      <c r="J10" t="s">
        <v>971</v>
      </c>
      <c r="K10" t="s">
        <v>48</v>
      </c>
      <c r="L10" t="str">
        <f t="shared" si="0"/>
        <v>Sdr. Muhammad Hafiz Ratu Agung, S.T.</v>
      </c>
      <c r="M10" t="s">
        <v>100</v>
      </c>
      <c r="N10">
        <v>2873500</v>
      </c>
      <c r="O10" t="s">
        <v>82</v>
      </c>
      <c r="P10" t="s">
        <v>83</v>
      </c>
      <c r="Q10" t="s">
        <v>124</v>
      </c>
      <c r="R10" t="s">
        <v>111</v>
      </c>
      <c r="S10" t="s">
        <v>50</v>
      </c>
      <c r="T10">
        <v>2</v>
      </c>
      <c r="U10">
        <v>0</v>
      </c>
      <c r="V10">
        <v>2579400</v>
      </c>
      <c r="W10" t="s">
        <v>86</v>
      </c>
      <c r="X10" t="s">
        <v>125</v>
      </c>
      <c r="Y10" t="s">
        <v>88</v>
      </c>
      <c r="Z10" t="s">
        <v>89</v>
      </c>
      <c r="AA10">
        <v>1</v>
      </c>
      <c r="AB10">
        <v>0</v>
      </c>
      <c r="AC10">
        <v>2964000</v>
      </c>
      <c r="AD10" t="s">
        <v>90</v>
      </c>
      <c r="AE10">
        <v>4</v>
      </c>
      <c r="AF10">
        <v>0</v>
      </c>
      <c r="AG10" t="s">
        <v>53</v>
      </c>
      <c r="AH10" t="s">
        <v>72</v>
      </c>
      <c r="AI10" t="s">
        <v>73</v>
      </c>
      <c r="AJ10" t="s">
        <v>74</v>
      </c>
      <c r="AK10" t="s">
        <v>56</v>
      </c>
      <c r="AL10">
        <v>2</v>
      </c>
      <c r="AM10">
        <v>0</v>
      </c>
      <c r="AN10" t="s">
        <v>50</v>
      </c>
      <c r="AO10" s="4" t="s">
        <v>111</v>
      </c>
      <c r="AP10" t="s">
        <v>82</v>
      </c>
      <c r="AQ10" t="s">
        <v>57</v>
      </c>
      <c r="AR10" t="s">
        <v>124</v>
      </c>
      <c r="AS10">
        <v>2873500</v>
      </c>
      <c r="AT10" t="s">
        <v>83</v>
      </c>
      <c r="AU10">
        <v>2</v>
      </c>
      <c r="AV10" s="3"/>
    </row>
    <row r="11" spans="1:48" hidden="1" x14ac:dyDescent="0.3">
      <c r="A11" t="s">
        <v>126</v>
      </c>
      <c r="B11" t="s">
        <v>127</v>
      </c>
      <c r="C11" t="s">
        <v>78</v>
      </c>
      <c r="D11" t="s">
        <v>79</v>
      </c>
      <c r="E11" t="s">
        <v>80</v>
      </c>
      <c r="F11" t="s">
        <v>99</v>
      </c>
      <c r="G11">
        <v>3</v>
      </c>
      <c r="H11">
        <v>10</v>
      </c>
      <c r="I11" t="s">
        <v>962</v>
      </c>
      <c r="J11" t="s">
        <v>972</v>
      </c>
      <c r="K11" t="s">
        <v>81</v>
      </c>
      <c r="L11" t="str">
        <f t="shared" si="0"/>
        <v>Sdri. Ni Made Ayu Wulandari, S.T.</v>
      </c>
      <c r="M11" t="s">
        <v>100</v>
      </c>
      <c r="N11">
        <v>2873500</v>
      </c>
      <c r="O11" t="s">
        <v>82</v>
      </c>
      <c r="P11" t="s">
        <v>83</v>
      </c>
      <c r="Q11" t="s">
        <v>128</v>
      </c>
      <c r="R11" t="s">
        <v>129</v>
      </c>
      <c r="S11" t="s">
        <v>50</v>
      </c>
      <c r="T11">
        <v>2</v>
      </c>
      <c r="U11">
        <v>0</v>
      </c>
      <c r="V11">
        <v>2579400</v>
      </c>
      <c r="W11" t="s">
        <v>86</v>
      </c>
      <c r="X11" t="s">
        <v>130</v>
      </c>
      <c r="Y11" t="s">
        <v>88</v>
      </c>
      <c r="Z11" t="s">
        <v>89</v>
      </c>
      <c r="AA11">
        <v>1</v>
      </c>
      <c r="AB11">
        <v>0</v>
      </c>
      <c r="AC11">
        <v>2964000</v>
      </c>
      <c r="AD11" t="s">
        <v>90</v>
      </c>
      <c r="AE11">
        <v>4</v>
      </c>
      <c r="AF11">
        <v>0</v>
      </c>
      <c r="AG11" t="s">
        <v>53</v>
      </c>
      <c r="AH11" t="s">
        <v>72</v>
      </c>
      <c r="AI11" t="s">
        <v>73</v>
      </c>
      <c r="AJ11" t="s">
        <v>74</v>
      </c>
      <c r="AK11" t="s">
        <v>56</v>
      </c>
      <c r="AL11">
        <v>2</v>
      </c>
      <c r="AM11">
        <v>0</v>
      </c>
      <c r="AN11" t="s">
        <v>50</v>
      </c>
      <c r="AO11" s="4" t="s">
        <v>129</v>
      </c>
      <c r="AP11" t="s">
        <v>82</v>
      </c>
      <c r="AQ11" t="s">
        <v>57</v>
      </c>
      <c r="AR11" t="s">
        <v>128</v>
      </c>
      <c r="AS11">
        <v>2873500</v>
      </c>
      <c r="AT11" t="s">
        <v>83</v>
      </c>
      <c r="AU11">
        <v>2</v>
      </c>
      <c r="AV11" s="3"/>
    </row>
    <row r="12" spans="1:48" hidden="1" x14ac:dyDescent="0.3">
      <c r="A12" t="s">
        <v>131</v>
      </c>
      <c r="B12" t="s">
        <v>132</v>
      </c>
      <c r="C12" t="s">
        <v>78</v>
      </c>
      <c r="D12" t="s">
        <v>79</v>
      </c>
      <c r="E12" t="s">
        <v>80</v>
      </c>
      <c r="F12" t="s">
        <v>99</v>
      </c>
      <c r="G12">
        <v>3</v>
      </c>
      <c r="H12">
        <v>10</v>
      </c>
      <c r="I12" t="s">
        <v>962</v>
      </c>
      <c r="J12" t="s">
        <v>973</v>
      </c>
      <c r="K12" t="s">
        <v>48</v>
      </c>
      <c r="L12" t="str">
        <f t="shared" si="0"/>
        <v>Sdr. Rizal Dimas Aprelihandro, S.T.</v>
      </c>
      <c r="M12" t="s">
        <v>100</v>
      </c>
      <c r="N12">
        <v>2873500</v>
      </c>
      <c r="O12" t="s">
        <v>82</v>
      </c>
      <c r="P12" t="s">
        <v>83</v>
      </c>
      <c r="Q12" t="s">
        <v>133</v>
      </c>
      <c r="R12" t="s">
        <v>111</v>
      </c>
      <c r="S12" t="s">
        <v>50</v>
      </c>
      <c r="T12">
        <v>2</v>
      </c>
      <c r="U12">
        <v>0</v>
      </c>
      <c r="V12">
        <v>2579400</v>
      </c>
      <c r="W12" t="s">
        <v>86</v>
      </c>
      <c r="X12" t="s">
        <v>134</v>
      </c>
      <c r="Y12" t="s">
        <v>88</v>
      </c>
      <c r="Z12" t="s">
        <v>89</v>
      </c>
      <c r="AA12">
        <v>1</v>
      </c>
      <c r="AB12">
        <v>0</v>
      </c>
      <c r="AC12">
        <v>2964000</v>
      </c>
      <c r="AD12" t="s">
        <v>90</v>
      </c>
      <c r="AE12">
        <v>4</v>
      </c>
      <c r="AF12">
        <v>0</v>
      </c>
      <c r="AG12" t="s">
        <v>53</v>
      </c>
      <c r="AH12" t="s">
        <v>72</v>
      </c>
      <c r="AI12" t="s">
        <v>73</v>
      </c>
      <c r="AJ12" t="s">
        <v>74</v>
      </c>
      <c r="AK12" t="s">
        <v>56</v>
      </c>
      <c r="AL12">
        <v>2</v>
      </c>
      <c r="AM12">
        <v>0</v>
      </c>
      <c r="AN12" t="s">
        <v>50</v>
      </c>
      <c r="AO12" s="4" t="s">
        <v>111</v>
      </c>
      <c r="AP12" t="s">
        <v>82</v>
      </c>
      <c r="AQ12" t="s">
        <v>57</v>
      </c>
      <c r="AR12" t="s">
        <v>133</v>
      </c>
      <c r="AS12">
        <v>2873500</v>
      </c>
      <c r="AT12" t="s">
        <v>83</v>
      </c>
      <c r="AU12">
        <v>2</v>
      </c>
      <c r="AV12" s="3"/>
    </row>
    <row r="13" spans="1:48" x14ac:dyDescent="0.3">
      <c r="A13" t="s">
        <v>135</v>
      </c>
      <c r="B13" t="s">
        <v>136</v>
      </c>
      <c r="C13" t="s">
        <v>78</v>
      </c>
      <c r="D13" t="s">
        <v>79</v>
      </c>
      <c r="E13" t="s">
        <v>80</v>
      </c>
      <c r="F13" t="s">
        <v>137</v>
      </c>
      <c r="G13">
        <v>3</v>
      </c>
      <c r="H13">
        <v>10</v>
      </c>
      <c r="I13" t="s">
        <v>962</v>
      </c>
      <c r="J13" t="s">
        <v>974</v>
      </c>
      <c r="K13" t="s">
        <v>48</v>
      </c>
      <c r="L13" t="str">
        <f t="shared" si="0"/>
        <v>Sdr. Dinar Wicaksono, S.T.</v>
      </c>
      <c r="M13" t="s">
        <v>138</v>
      </c>
      <c r="N13">
        <v>2873500</v>
      </c>
      <c r="O13" t="s">
        <v>82</v>
      </c>
      <c r="P13" t="s">
        <v>83</v>
      </c>
      <c r="Q13" t="s">
        <v>139</v>
      </c>
      <c r="R13" t="s">
        <v>111</v>
      </c>
      <c r="S13" t="s">
        <v>50</v>
      </c>
      <c r="T13">
        <v>2</v>
      </c>
      <c r="U13">
        <v>0</v>
      </c>
      <c r="V13">
        <v>2579400</v>
      </c>
      <c r="W13" t="s">
        <v>86</v>
      </c>
      <c r="X13" t="s">
        <v>140</v>
      </c>
      <c r="Y13" t="s">
        <v>88</v>
      </c>
      <c r="Z13" t="s">
        <v>89</v>
      </c>
      <c r="AA13">
        <v>1</v>
      </c>
      <c r="AB13">
        <v>0</v>
      </c>
      <c r="AC13">
        <v>2964000</v>
      </c>
      <c r="AD13" t="s">
        <v>90</v>
      </c>
      <c r="AE13">
        <v>4</v>
      </c>
      <c r="AF13">
        <v>0</v>
      </c>
      <c r="AG13" t="s">
        <v>53</v>
      </c>
      <c r="AH13" t="s">
        <v>72</v>
      </c>
      <c r="AI13" t="s">
        <v>73</v>
      </c>
      <c r="AJ13" t="s">
        <v>74</v>
      </c>
      <c r="AK13" t="s">
        <v>56</v>
      </c>
      <c r="AL13">
        <v>2</v>
      </c>
      <c r="AM13">
        <v>0</v>
      </c>
      <c r="AN13" t="s">
        <v>50</v>
      </c>
      <c r="AO13" s="4" t="s">
        <v>111</v>
      </c>
      <c r="AP13" t="s">
        <v>82</v>
      </c>
      <c r="AQ13" t="s">
        <v>57</v>
      </c>
      <c r="AR13" t="s">
        <v>139</v>
      </c>
      <c r="AS13">
        <v>2873500</v>
      </c>
      <c r="AT13" t="s">
        <v>83</v>
      </c>
      <c r="AU13">
        <v>2</v>
      </c>
      <c r="AV13" s="3"/>
    </row>
    <row r="14" spans="1:48" x14ac:dyDescent="0.3">
      <c r="A14" t="s">
        <v>141</v>
      </c>
      <c r="B14" t="s">
        <v>142</v>
      </c>
      <c r="C14" t="s">
        <v>78</v>
      </c>
      <c r="D14" t="s">
        <v>79</v>
      </c>
      <c r="E14" t="s">
        <v>80</v>
      </c>
      <c r="F14" t="s">
        <v>137</v>
      </c>
      <c r="G14">
        <v>3</v>
      </c>
      <c r="H14">
        <v>10</v>
      </c>
      <c r="I14" t="s">
        <v>962</v>
      </c>
      <c r="J14" t="s">
        <v>975</v>
      </c>
      <c r="K14" t="s">
        <v>48</v>
      </c>
      <c r="L14" t="str">
        <f t="shared" si="0"/>
        <v>Sdr. I.P. Inrawan Tangkas, S.T.</v>
      </c>
      <c r="M14" t="s">
        <v>138</v>
      </c>
      <c r="N14">
        <v>2873500</v>
      </c>
      <c r="O14" t="s">
        <v>82</v>
      </c>
      <c r="P14" t="s">
        <v>83</v>
      </c>
      <c r="Q14" t="s">
        <v>143</v>
      </c>
      <c r="R14" t="s">
        <v>111</v>
      </c>
      <c r="S14" t="s">
        <v>50</v>
      </c>
      <c r="T14">
        <v>2</v>
      </c>
      <c r="U14">
        <v>0</v>
      </c>
      <c r="V14">
        <v>2579400</v>
      </c>
      <c r="W14" t="s">
        <v>86</v>
      </c>
      <c r="X14" t="s">
        <v>144</v>
      </c>
      <c r="Y14" t="s">
        <v>88</v>
      </c>
      <c r="Z14" t="s">
        <v>89</v>
      </c>
      <c r="AA14">
        <v>1</v>
      </c>
      <c r="AB14">
        <v>0</v>
      </c>
      <c r="AC14">
        <v>2964000</v>
      </c>
      <c r="AD14" t="s">
        <v>90</v>
      </c>
      <c r="AE14">
        <v>4</v>
      </c>
      <c r="AF14">
        <v>0</v>
      </c>
      <c r="AG14" t="s">
        <v>53</v>
      </c>
      <c r="AH14" t="s">
        <v>72</v>
      </c>
      <c r="AI14" t="s">
        <v>73</v>
      </c>
      <c r="AJ14" t="s">
        <v>74</v>
      </c>
      <c r="AK14" t="s">
        <v>56</v>
      </c>
      <c r="AL14">
        <v>2</v>
      </c>
      <c r="AM14">
        <v>0</v>
      </c>
      <c r="AN14" t="s">
        <v>50</v>
      </c>
      <c r="AO14" s="4" t="s">
        <v>111</v>
      </c>
      <c r="AP14" t="s">
        <v>82</v>
      </c>
      <c r="AQ14" t="s">
        <v>57</v>
      </c>
      <c r="AR14" t="s">
        <v>143</v>
      </c>
      <c r="AS14">
        <v>2873500</v>
      </c>
      <c r="AT14" t="s">
        <v>83</v>
      </c>
      <c r="AU14">
        <v>2</v>
      </c>
      <c r="AV14" s="3"/>
    </row>
    <row r="15" spans="1:48" x14ac:dyDescent="0.3">
      <c r="A15" t="s">
        <v>145</v>
      </c>
      <c r="B15" t="s">
        <v>146</v>
      </c>
      <c r="C15" t="s">
        <v>78</v>
      </c>
      <c r="D15" t="s">
        <v>79</v>
      </c>
      <c r="E15" t="s">
        <v>80</v>
      </c>
      <c r="F15" t="s">
        <v>137</v>
      </c>
      <c r="G15">
        <v>3</v>
      </c>
      <c r="H15">
        <v>10</v>
      </c>
      <c r="I15" t="s">
        <v>962</v>
      </c>
      <c r="J15" t="s">
        <v>976</v>
      </c>
      <c r="K15" t="s">
        <v>48</v>
      </c>
      <c r="L15" t="str">
        <f t="shared" si="0"/>
        <v>Sdr. Jhohanes Very Michael, S.Tr.T</v>
      </c>
      <c r="M15" t="s">
        <v>138</v>
      </c>
      <c r="N15">
        <v>2873500</v>
      </c>
      <c r="O15" t="s">
        <v>82</v>
      </c>
      <c r="P15" t="s">
        <v>83</v>
      </c>
      <c r="Q15" t="s">
        <v>147</v>
      </c>
      <c r="R15" t="s">
        <v>111</v>
      </c>
      <c r="S15" t="s">
        <v>50</v>
      </c>
      <c r="T15">
        <v>2</v>
      </c>
      <c r="U15">
        <v>0</v>
      </c>
      <c r="V15">
        <v>2579400</v>
      </c>
      <c r="W15" t="s">
        <v>86</v>
      </c>
      <c r="X15" t="s">
        <v>148</v>
      </c>
      <c r="Y15" t="s">
        <v>88</v>
      </c>
      <c r="Z15" t="s">
        <v>89</v>
      </c>
      <c r="AA15">
        <v>1</v>
      </c>
      <c r="AB15">
        <v>0</v>
      </c>
      <c r="AC15">
        <v>2964000</v>
      </c>
      <c r="AD15" t="s">
        <v>90</v>
      </c>
      <c r="AE15">
        <v>4</v>
      </c>
      <c r="AF15">
        <v>0</v>
      </c>
      <c r="AG15" t="s">
        <v>53</v>
      </c>
      <c r="AH15" t="s">
        <v>72</v>
      </c>
      <c r="AI15" t="s">
        <v>73</v>
      </c>
      <c r="AJ15" t="s">
        <v>74</v>
      </c>
      <c r="AK15" t="s">
        <v>56</v>
      </c>
      <c r="AL15">
        <v>2</v>
      </c>
      <c r="AM15">
        <v>0</v>
      </c>
      <c r="AN15" t="s">
        <v>50</v>
      </c>
      <c r="AO15" s="4" t="s">
        <v>111</v>
      </c>
      <c r="AP15" t="s">
        <v>82</v>
      </c>
      <c r="AQ15" t="s">
        <v>57</v>
      </c>
      <c r="AR15" t="s">
        <v>147</v>
      </c>
      <c r="AS15">
        <v>2873500</v>
      </c>
      <c r="AT15" t="s">
        <v>83</v>
      </c>
      <c r="AU15">
        <v>2</v>
      </c>
      <c r="AV15" s="3"/>
    </row>
    <row r="16" spans="1:48" x14ac:dyDescent="0.3">
      <c r="A16" t="s">
        <v>149</v>
      </c>
      <c r="B16" t="s">
        <v>150</v>
      </c>
      <c r="C16" t="s">
        <v>78</v>
      </c>
      <c r="D16" t="s">
        <v>79</v>
      </c>
      <c r="E16" t="s">
        <v>80</v>
      </c>
      <c r="F16" t="s">
        <v>137</v>
      </c>
      <c r="G16">
        <v>3</v>
      </c>
      <c r="H16">
        <v>10</v>
      </c>
      <c r="I16" t="s">
        <v>962</v>
      </c>
      <c r="J16" t="s">
        <v>977</v>
      </c>
      <c r="K16" t="s">
        <v>48</v>
      </c>
      <c r="L16" t="str">
        <f t="shared" si="0"/>
        <v>Sdr. Muhammad Gilang Indra, S.T.</v>
      </c>
      <c r="M16" t="s">
        <v>138</v>
      </c>
      <c r="N16">
        <v>2873500</v>
      </c>
      <c r="O16" t="s">
        <v>82</v>
      </c>
      <c r="P16" t="s">
        <v>83</v>
      </c>
      <c r="Q16" t="s">
        <v>151</v>
      </c>
      <c r="R16" t="s">
        <v>129</v>
      </c>
      <c r="S16" t="s">
        <v>50</v>
      </c>
      <c r="T16">
        <v>2</v>
      </c>
      <c r="U16">
        <v>0</v>
      </c>
      <c r="V16">
        <v>2579400</v>
      </c>
      <c r="W16" t="s">
        <v>86</v>
      </c>
      <c r="X16" t="s">
        <v>152</v>
      </c>
      <c r="Y16" t="s">
        <v>88</v>
      </c>
      <c r="Z16" t="s">
        <v>89</v>
      </c>
      <c r="AA16">
        <v>1</v>
      </c>
      <c r="AB16">
        <v>0</v>
      </c>
      <c r="AC16">
        <v>2964000</v>
      </c>
      <c r="AD16" t="s">
        <v>90</v>
      </c>
      <c r="AE16">
        <v>4</v>
      </c>
      <c r="AF16">
        <v>0</v>
      </c>
      <c r="AG16" t="s">
        <v>53</v>
      </c>
      <c r="AH16" t="s">
        <v>72</v>
      </c>
      <c r="AI16" t="s">
        <v>73</v>
      </c>
      <c r="AJ16" t="s">
        <v>74</v>
      </c>
      <c r="AK16" t="s">
        <v>56</v>
      </c>
      <c r="AL16">
        <v>2</v>
      </c>
      <c r="AM16">
        <v>0</v>
      </c>
      <c r="AN16" t="s">
        <v>50</v>
      </c>
      <c r="AO16" s="4" t="s">
        <v>129</v>
      </c>
      <c r="AP16" t="s">
        <v>82</v>
      </c>
      <c r="AQ16" t="s">
        <v>57</v>
      </c>
      <c r="AR16" t="s">
        <v>151</v>
      </c>
      <c r="AS16">
        <v>2873500</v>
      </c>
      <c r="AT16" t="s">
        <v>83</v>
      </c>
      <c r="AU16">
        <v>2</v>
      </c>
      <c r="AV16" s="3"/>
    </row>
    <row r="17" spans="1:48" s="7" customFormat="1" x14ac:dyDescent="0.3">
      <c r="A17" s="7" t="s">
        <v>153</v>
      </c>
      <c r="B17" s="7" t="s">
        <v>154</v>
      </c>
      <c r="C17" s="7" t="s">
        <v>78</v>
      </c>
      <c r="D17" s="7" t="s">
        <v>79</v>
      </c>
      <c r="E17" s="7" t="s">
        <v>80</v>
      </c>
      <c r="F17" s="7" t="s">
        <v>137</v>
      </c>
      <c r="G17" s="7">
        <v>3</v>
      </c>
      <c r="H17" s="7">
        <v>10</v>
      </c>
      <c r="I17" s="7" t="s">
        <v>962</v>
      </c>
      <c r="J17" s="7" t="s">
        <v>978</v>
      </c>
      <c r="K17" s="7" t="s">
        <v>81</v>
      </c>
      <c r="L17" s="7" t="str">
        <f t="shared" si="0"/>
        <v>Sdri. Sintia Agustina, S.T.</v>
      </c>
      <c r="M17" s="7" t="s">
        <v>138</v>
      </c>
      <c r="N17" s="7">
        <v>2873500</v>
      </c>
      <c r="O17" s="7" t="s">
        <v>82</v>
      </c>
      <c r="P17" s="7" t="s">
        <v>155</v>
      </c>
      <c r="Q17" s="7" t="s">
        <v>156</v>
      </c>
      <c r="R17" s="7" t="s">
        <v>85</v>
      </c>
      <c r="S17" s="7" t="s">
        <v>157</v>
      </c>
      <c r="T17" s="7">
        <v>2</v>
      </c>
      <c r="U17" s="7">
        <v>0</v>
      </c>
      <c r="V17" s="7">
        <v>2579400</v>
      </c>
      <c r="W17" s="7" t="s">
        <v>86</v>
      </c>
      <c r="X17" s="7" t="s">
        <v>158</v>
      </c>
      <c r="Y17" s="7" t="s">
        <v>88</v>
      </c>
      <c r="Z17" s="7" t="s">
        <v>89</v>
      </c>
      <c r="AA17" s="7">
        <v>1</v>
      </c>
      <c r="AB17" s="7">
        <v>0</v>
      </c>
      <c r="AC17" s="7">
        <v>2964000</v>
      </c>
      <c r="AD17" s="7" t="s">
        <v>90</v>
      </c>
      <c r="AE17" s="7">
        <v>4</v>
      </c>
      <c r="AF17" s="7">
        <v>0</v>
      </c>
      <c r="AG17" s="7" t="s">
        <v>53</v>
      </c>
      <c r="AH17" s="7" t="s">
        <v>72</v>
      </c>
      <c r="AI17" s="7" t="s">
        <v>73</v>
      </c>
      <c r="AJ17" s="7" t="s">
        <v>74</v>
      </c>
      <c r="AK17" s="7" t="s">
        <v>56</v>
      </c>
      <c r="AL17" s="7">
        <v>2</v>
      </c>
      <c r="AM17" s="7">
        <v>0</v>
      </c>
      <c r="AN17" s="7" t="s">
        <v>157</v>
      </c>
      <c r="AO17" s="20" t="s">
        <v>85</v>
      </c>
      <c r="AP17" s="7" t="s">
        <v>82</v>
      </c>
      <c r="AQ17" s="7" t="s">
        <v>159</v>
      </c>
      <c r="AR17" s="7" t="s">
        <v>156</v>
      </c>
      <c r="AS17" s="7">
        <v>2873500</v>
      </c>
      <c r="AT17" s="7" t="s">
        <v>83</v>
      </c>
      <c r="AU17" s="7">
        <v>2</v>
      </c>
      <c r="AV17" s="21" t="s">
        <v>1054</v>
      </c>
    </row>
    <row r="18" spans="1:48" hidden="1" x14ac:dyDescent="0.3">
      <c r="A18" t="s">
        <v>160</v>
      </c>
      <c r="B18" t="s">
        <v>161</v>
      </c>
      <c r="C18" t="s">
        <v>78</v>
      </c>
      <c r="D18" t="s">
        <v>79</v>
      </c>
      <c r="E18" t="s">
        <v>80</v>
      </c>
      <c r="F18" t="s">
        <v>162</v>
      </c>
      <c r="G18">
        <v>3</v>
      </c>
      <c r="H18">
        <v>10</v>
      </c>
      <c r="I18" t="s">
        <v>962</v>
      </c>
      <c r="J18" t="s">
        <v>979</v>
      </c>
      <c r="K18" t="s">
        <v>48</v>
      </c>
      <c r="L18" t="str">
        <f t="shared" si="0"/>
        <v>Sdr. Ricardo Pranata Sinuhaji, S.T.</v>
      </c>
      <c r="M18" t="s">
        <v>163</v>
      </c>
      <c r="N18">
        <v>2873500</v>
      </c>
      <c r="O18" t="s">
        <v>82</v>
      </c>
      <c r="P18" t="s">
        <v>83</v>
      </c>
      <c r="Q18" t="s">
        <v>164</v>
      </c>
      <c r="R18" t="s">
        <v>111</v>
      </c>
      <c r="S18" t="s">
        <v>50</v>
      </c>
      <c r="T18">
        <v>2</v>
      </c>
      <c r="U18">
        <v>0</v>
      </c>
      <c r="V18">
        <v>2579400</v>
      </c>
      <c r="W18" t="s">
        <v>86</v>
      </c>
      <c r="X18" t="s">
        <v>165</v>
      </c>
      <c r="Y18" t="s">
        <v>88</v>
      </c>
      <c r="Z18" t="s">
        <v>89</v>
      </c>
      <c r="AA18">
        <v>1</v>
      </c>
      <c r="AB18">
        <v>0</v>
      </c>
      <c r="AC18">
        <v>2964000</v>
      </c>
      <c r="AD18" t="s">
        <v>90</v>
      </c>
      <c r="AE18">
        <v>4</v>
      </c>
      <c r="AF18">
        <v>0</v>
      </c>
      <c r="AG18" t="s">
        <v>53</v>
      </c>
      <c r="AH18" t="s">
        <v>72</v>
      </c>
      <c r="AI18" t="s">
        <v>73</v>
      </c>
      <c r="AJ18" t="s">
        <v>74</v>
      </c>
      <c r="AK18" t="s">
        <v>56</v>
      </c>
      <c r="AL18">
        <v>2</v>
      </c>
      <c r="AM18">
        <v>0</v>
      </c>
      <c r="AN18" t="s">
        <v>50</v>
      </c>
      <c r="AO18" s="4" t="s">
        <v>111</v>
      </c>
      <c r="AP18" t="s">
        <v>82</v>
      </c>
      <c r="AQ18" t="s">
        <v>57</v>
      </c>
      <c r="AR18" t="s">
        <v>164</v>
      </c>
      <c r="AS18">
        <v>2873500</v>
      </c>
      <c r="AT18" t="s">
        <v>83</v>
      </c>
      <c r="AU18">
        <v>2</v>
      </c>
      <c r="AV18" s="3"/>
    </row>
  </sheetData>
  <autoFilter ref="A1:AX18" xr:uid="{80466BF4-56D0-467C-B38A-209C74286F98}">
    <filterColumn colId="5">
      <filters>
        <filter val="Direktorat Infrastruktur Dukungan Perekonomian, Peribadatan, Kesehatan, Olahraga dan Sosial Budaya"/>
      </filters>
    </filterColumn>
  </autoFilter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45"/>
  <sheetViews>
    <sheetView zoomScale="50" zoomScaleNormal="50" workbookViewId="0">
      <pane xSplit="1" ySplit="1" topLeftCell="Z2" activePane="bottomRight" state="frozen"/>
      <selection pane="topRight" activeCell="B1" sqref="B1"/>
      <selection pane="bottomLeft" activeCell="A2" sqref="A2"/>
      <selection pane="bottomRight" activeCell="AE1" sqref="AE1"/>
    </sheetView>
  </sheetViews>
  <sheetFormatPr defaultRowHeight="14.4" x14ac:dyDescent="0.3"/>
  <cols>
    <col min="1" max="1" width="31.77734375" bestFit="1" customWidth="1"/>
    <col min="2" max="2" width="19" bestFit="1" customWidth="1"/>
    <col min="3" max="3" width="17.44140625" bestFit="1" customWidth="1"/>
    <col min="4" max="4" width="8.44140625" bestFit="1" customWidth="1"/>
    <col min="5" max="5" width="62.44140625" bestFit="1" customWidth="1"/>
    <col min="6" max="6" width="88" bestFit="1" customWidth="1"/>
    <col min="7" max="7" width="16.6640625" customWidth="1"/>
    <col min="8" max="8" width="16.33203125" customWidth="1"/>
    <col min="9" max="9" width="14.21875" customWidth="1"/>
    <col min="10" max="10" width="12.21875" style="24" customWidth="1"/>
    <col min="11" max="11" width="18.109375" customWidth="1"/>
    <col min="12" max="12" width="8.77734375" customWidth="1"/>
    <col min="13" max="13" width="86.21875" customWidth="1"/>
    <col min="14" max="14" width="21.88671875" customWidth="1"/>
    <col min="15" max="15" width="61.33203125" customWidth="1"/>
    <col min="16" max="16" width="40" customWidth="1"/>
    <col min="17" max="17" width="24" customWidth="1"/>
    <col min="18" max="18" width="28" customWidth="1"/>
    <col min="19" max="19" width="32.6640625" customWidth="1"/>
    <col min="20" max="20" width="35" customWidth="1"/>
    <col min="21" max="21" width="34.77734375" customWidth="1"/>
    <col min="22" max="22" width="19.44140625" customWidth="1"/>
    <col min="23" max="23" width="61.33203125" customWidth="1"/>
    <col min="24" max="24" width="21.6640625" customWidth="1"/>
    <col min="25" max="25" width="25.6640625" customWidth="1"/>
    <col min="26" max="26" width="27.77734375" customWidth="1"/>
    <col min="27" max="27" width="32.5546875" customWidth="1"/>
    <col min="28" max="28" width="32.21875" customWidth="1"/>
    <col min="29" max="29" width="8.6640625" customWidth="1"/>
    <col min="30" max="30" width="63.6640625" customWidth="1"/>
    <col min="31" max="31" width="21.77734375" bestFit="1" customWidth="1"/>
    <col min="32" max="32" width="21.44140625" bestFit="1" customWidth="1"/>
    <col min="33" max="33" width="17.6640625" bestFit="1" customWidth="1"/>
    <col min="34" max="34" width="42.44140625" bestFit="1" customWidth="1"/>
    <col min="35" max="35" width="32.5546875" bestFit="1" customWidth="1"/>
    <col min="36" max="36" width="30.44140625" bestFit="1" customWidth="1"/>
    <col min="37" max="37" width="6" bestFit="1" customWidth="1"/>
    <col min="38" max="38" width="30.77734375" bestFit="1" customWidth="1"/>
    <col min="39" max="39" width="30.44140625" bestFit="1" customWidth="1"/>
    <col min="40" max="40" width="26.6640625" bestFit="1" customWidth="1"/>
    <col min="41" max="41" width="23.77734375" bestFit="1" customWidth="1"/>
    <col min="42" max="42" width="61.33203125" bestFit="1" customWidth="1"/>
    <col min="43" max="43" width="28.88671875" bestFit="1" customWidth="1"/>
    <col min="44" max="44" width="19.77734375" bestFit="1" customWidth="1"/>
    <col min="45" max="45" width="17.6640625" bestFit="1" customWidth="1"/>
    <col min="46" max="46" width="68.5546875" bestFit="1" customWidth="1"/>
    <col min="47" max="47" width="36.88671875" bestFit="1" customWidth="1"/>
  </cols>
  <sheetData>
    <row r="1" spans="1:4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3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x14ac:dyDescent="0.3">
      <c r="A2" t="s">
        <v>475</v>
      </c>
      <c r="B2" t="s">
        <v>476</v>
      </c>
      <c r="C2" t="s">
        <v>477</v>
      </c>
      <c r="D2" t="s">
        <v>478</v>
      </c>
      <c r="E2" t="s">
        <v>479</v>
      </c>
      <c r="F2" t="s">
        <v>480</v>
      </c>
      <c r="G2">
        <v>1</v>
      </c>
      <c r="H2">
        <v>10</v>
      </c>
      <c r="I2" t="s">
        <v>1073</v>
      </c>
      <c r="J2" s="24" t="s">
        <v>1055</v>
      </c>
      <c r="K2" t="str">
        <f>CONCATENATE(J2, "/KPTS/Gs/2026")</f>
        <v>03/KPTS/Gs/2026</v>
      </c>
      <c r="L2" t="s">
        <v>81</v>
      </c>
      <c r="N2">
        <v>2858800</v>
      </c>
      <c r="O2" t="s">
        <v>481</v>
      </c>
      <c r="Q2" t="s">
        <v>482</v>
      </c>
      <c r="R2" t="s">
        <v>483</v>
      </c>
      <c r="S2" t="s">
        <v>50</v>
      </c>
      <c r="T2">
        <v>0</v>
      </c>
      <c r="U2">
        <v>0</v>
      </c>
      <c r="V2">
        <v>2858800</v>
      </c>
      <c r="W2" t="s">
        <v>481</v>
      </c>
      <c r="X2" t="s">
        <v>482</v>
      </c>
      <c r="Y2" t="s">
        <v>483</v>
      </c>
      <c r="Z2" t="s">
        <v>50</v>
      </c>
      <c r="AA2">
        <v>0</v>
      </c>
      <c r="AB2">
        <v>0</v>
      </c>
      <c r="AC2">
        <v>2948800</v>
      </c>
      <c r="AD2" t="s">
        <v>484</v>
      </c>
      <c r="AE2">
        <v>5</v>
      </c>
      <c r="AF2">
        <v>0</v>
      </c>
      <c r="AG2" t="s">
        <v>53</v>
      </c>
      <c r="AH2" t="s">
        <v>72</v>
      </c>
      <c r="AI2" t="s">
        <v>73</v>
      </c>
      <c r="AJ2" t="s">
        <v>74</v>
      </c>
      <c r="AK2" t="s">
        <v>485</v>
      </c>
      <c r="AL2">
        <v>3</v>
      </c>
      <c r="AM2">
        <v>0</v>
      </c>
      <c r="AN2" t="s">
        <v>50</v>
      </c>
      <c r="AO2" t="s">
        <v>483</v>
      </c>
      <c r="AP2" t="s">
        <v>481</v>
      </c>
      <c r="AQ2" t="s">
        <v>486</v>
      </c>
      <c r="AR2" t="s">
        <v>482</v>
      </c>
      <c r="AS2">
        <v>2858800</v>
      </c>
      <c r="AT2" t="s">
        <v>83</v>
      </c>
      <c r="AU2">
        <v>2</v>
      </c>
    </row>
    <row r="3" spans="1:47" x14ac:dyDescent="0.3">
      <c r="A3" t="s">
        <v>487</v>
      </c>
      <c r="B3" t="s">
        <v>488</v>
      </c>
      <c r="C3" t="s">
        <v>489</v>
      </c>
      <c r="D3" t="s">
        <v>490</v>
      </c>
      <c r="E3" t="s">
        <v>491</v>
      </c>
      <c r="F3" t="s">
        <v>480</v>
      </c>
      <c r="G3">
        <v>1</v>
      </c>
      <c r="H3">
        <v>10</v>
      </c>
      <c r="I3" t="s">
        <v>1073</v>
      </c>
      <c r="J3" s="24" t="s">
        <v>1056</v>
      </c>
      <c r="K3" t="str">
        <f>CONCATENATE(J3, "/KPTS/Gs/2026")</f>
        <v>04/KPTS/Gs/2026</v>
      </c>
      <c r="L3" t="s">
        <v>48</v>
      </c>
      <c r="N3">
        <v>3203600</v>
      </c>
      <c r="O3" t="s">
        <v>492</v>
      </c>
      <c r="Q3" t="s">
        <v>493</v>
      </c>
      <c r="R3" t="s">
        <v>483</v>
      </c>
      <c r="S3" t="s">
        <v>50</v>
      </c>
      <c r="T3">
        <v>0</v>
      </c>
      <c r="U3">
        <v>0</v>
      </c>
      <c r="V3">
        <v>3203600</v>
      </c>
      <c r="W3" t="s">
        <v>492</v>
      </c>
      <c r="X3" t="s">
        <v>493</v>
      </c>
      <c r="Y3" t="s">
        <v>483</v>
      </c>
      <c r="Z3" t="s">
        <v>50</v>
      </c>
      <c r="AA3">
        <v>0</v>
      </c>
      <c r="AB3">
        <v>0</v>
      </c>
      <c r="AC3">
        <v>3304400</v>
      </c>
      <c r="AD3" t="s">
        <v>494</v>
      </c>
      <c r="AE3">
        <v>2</v>
      </c>
      <c r="AF3">
        <v>0</v>
      </c>
      <c r="AG3" t="s">
        <v>53</v>
      </c>
      <c r="AH3" t="s">
        <v>72</v>
      </c>
      <c r="AI3" t="s">
        <v>73</v>
      </c>
      <c r="AJ3" t="s">
        <v>74</v>
      </c>
      <c r="AK3" t="s">
        <v>485</v>
      </c>
      <c r="AL3">
        <v>0</v>
      </c>
      <c r="AM3">
        <v>0</v>
      </c>
      <c r="AN3" t="s">
        <v>50</v>
      </c>
      <c r="AO3" t="s">
        <v>483</v>
      </c>
      <c r="AP3" t="s">
        <v>492</v>
      </c>
      <c r="AQ3" t="s">
        <v>486</v>
      </c>
      <c r="AR3" t="s">
        <v>493</v>
      </c>
      <c r="AS3">
        <v>3203600</v>
      </c>
      <c r="AT3" t="s">
        <v>959</v>
      </c>
      <c r="AU3">
        <v>2</v>
      </c>
    </row>
    <row r="4" spans="1:47" x14ac:dyDescent="0.3">
      <c r="A4" t="s">
        <v>495</v>
      </c>
      <c r="B4" t="s">
        <v>496</v>
      </c>
      <c r="C4" t="s">
        <v>489</v>
      </c>
      <c r="D4" t="s">
        <v>490</v>
      </c>
      <c r="E4" t="s">
        <v>497</v>
      </c>
      <c r="F4" t="s">
        <v>480</v>
      </c>
      <c r="G4">
        <v>1</v>
      </c>
      <c r="H4">
        <v>10</v>
      </c>
      <c r="I4" t="s">
        <v>1073</v>
      </c>
      <c r="J4" s="24" t="s">
        <v>1058</v>
      </c>
      <c r="K4" t="str">
        <f t="shared" ref="K4:K19" si="0">CONCATENATE(J4, "/KPTS/Gs/2026")</f>
        <v>05/KPTS/Gs/2026</v>
      </c>
      <c r="L4" t="s">
        <v>48</v>
      </c>
      <c r="N4">
        <v>3203600</v>
      </c>
      <c r="O4" t="s">
        <v>492</v>
      </c>
      <c r="Q4" t="s">
        <v>498</v>
      </c>
      <c r="R4" t="s">
        <v>483</v>
      </c>
      <c r="S4" t="s">
        <v>50</v>
      </c>
      <c r="T4">
        <v>0</v>
      </c>
      <c r="U4">
        <v>0</v>
      </c>
      <c r="V4">
        <v>3203600</v>
      </c>
      <c r="W4" t="s">
        <v>492</v>
      </c>
      <c r="X4" t="s">
        <v>498</v>
      </c>
      <c r="Y4" t="s">
        <v>483</v>
      </c>
      <c r="Z4" t="s">
        <v>50</v>
      </c>
      <c r="AA4">
        <v>0</v>
      </c>
      <c r="AB4">
        <v>0</v>
      </c>
      <c r="AC4">
        <v>3304400</v>
      </c>
      <c r="AD4" t="s">
        <v>494</v>
      </c>
      <c r="AE4">
        <v>2</v>
      </c>
      <c r="AF4">
        <v>0</v>
      </c>
      <c r="AG4" t="s">
        <v>53</v>
      </c>
      <c r="AH4" t="s">
        <v>72</v>
      </c>
      <c r="AI4" t="s">
        <v>73</v>
      </c>
      <c r="AJ4" t="s">
        <v>74</v>
      </c>
      <c r="AK4" t="s">
        <v>485</v>
      </c>
      <c r="AL4">
        <v>0</v>
      </c>
      <c r="AM4">
        <v>0</v>
      </c>
      <c r="AN4" t="s">
        <v>50</v>
      </c>
      <c r="AO4" t="s">
        <v>483</v>
      </c>
      <c r="AP4" t="s">
        <v>492</v>
      </c>
      <c r="AQ4" t="s">
        <v>486</v>
      </c>
      <c r="AR4" t="s">
        <v>498</v>
      </c>
      <c r="AS4">
        <v>3203600</v>
      </c>
      <c r="AT4" t="s">
        <v>980</v>
      </c>
      <c r="AU4">
        <v>2</v>
      </c>
    </row>
    <row r="5" spans="1:47" x14ac:dyDescent="0.3">
      <c r="A5" t="s">
        <v>499</v>
      </c>
      <c r="B5" t="s">
        <v>500</v>
      </c>
      <c r="C5" t="s">
        <v>489</v>
      </c>
      <c r="D5" t="s">
        <v>490</v>
      </c>
      <c r="E5" t="s">
        <v>501</v>
      </c>
      <c r="F5" t="s">
        <v>480</v>
      </c>
      <c r="G5">
        <v>1</v>
      </c>
      <c r="H5">
        <v>10</v>
      </c>
      <c r="I5" t="s">
        <v>1073</v>
      </c>
      <c r="J5" s="24" t="s">
        <v>1059</v>
      </c>
      <c r="K5" t="str">
        <f t="shared" si="0"/>
        <v>06/KPTS/Gs/2026</v>
      </c>
      <c r="L5" t="s">
        <v>81</v>
      </c>
      <c r="N5">
        <v>3203600</v>
      </c>
      <c r="O5" t="s">
        <v>492</v>
      </c>
      <c r="Q5" t="s">
        <v>502</v>
      </c>
      <c r="R5" t="s">
        <v>483</v>
      </c>
      <c r="S5" t="s">
        <v>50</v>
      </c>
      <c r="T5">
        <v>0</v>
      </c>
      <c r="U5">
        <v>0</v>
      </c>
      <c r="V5">
        <v>3203600</v>
      </c>
      <c r="W5" t="s">
        <v>492</v>
      </c>
      <c r="X5" t="s">
        <v>502</v>
      </c>
      <c r="Y5" t="s">
        <v>483</v>
      </c>
      <c r="Z5" t="s">
        <v>50</v>
      </c>
      <c r="AA5">
        <v>0</v>
      </c>
      <c r="AB5">
        <v>0</v>
      </c>
      <c r="AC5">
        <v>3304400</v>
      </c>
      <c r="AD5" t="s">
        <v>494</v>
      </c>
      <c r="AE5">
        <v>2</v>
      </c>
      <c r="AF5">
        <v>0</v>
      </c>
      <c r="AG5" t="s">
        <v>53</v>
      </c>
      <c r="AH5" t="s">
        <v>72</v>
      </c>
      <c r="AI5" t="s">
        <v>73</v>
      </c>
      <c r="AJ5" t="s">
        <v>74</v>
      </c>
      <c r="AK5" t="s">
        <v>485</v>
      </c>
      <c r="AL5">
        <v>0</v>
      </c>
      <c r="AM5">
        <v>0</v>
      </c>
      <c r="AN5" t="s">
        <v>50</v>
      </c>
      <c r="AO5" t="s">
        <v>483</v>
      </c>
      <c r="AP5" t="s">
        <v>492</v>
      </c>
      <c r="AQ5" t="s">
        <v>486</v>
      </c>
      <c r="AR5" t="s">
        <v>502</v>
      </c>
      <c r="AS5">
        <v>3203600</v>
      </c>
      <c r="AT5" t="s">
        <v>981</v>
      </c>
      <c r="AU5">
        <v>2</v>
      </c>
    </row>
    <row r="6" spans="1:47" x14ac:dyDescent="0.3">
      <c r="A6" t="s">
        <v>503</v>
      </c>
      <c r="B6" t="s">
        <v>504</v>
      </c>
      <c r="C6" t="s">
        <v>489</v>
      </c>
      <c r="D6" t="s">
        <v>490</v>
      </c>
      <c r="E6" t="s">
        <v>505</v>
      </c>
      <c r="F6" t="s">
        <v>480</v>
      </c>
      <c r="G6">
        <v>1</v>
      </c>
      <c r="H6">
        <v>10</v>
      </c>
      <c r="I6" t="s">
        <v>1073</v>
      </c>
      <c r="J6" s="24" t="s">
        <v>1060</v>
      </c>
      <c r="K6" t="str">
        <f t="shared" si="0"/>
        <v>07/KPTS/Gs/2026</v>
      </c>
      <c r="L6" t="s">
        <v>81</v>
      </c>
      <c r="N6">
        <v>3203600</v>
      </c>
      <c r="O6" t="s">
        <v>492</v>
      </c>
      <c r="Q6" t="s">
        <v>506</v>
      </c>
      <c r="R6" t="s">
        <v>483</v>
      </c>
      <c r="T6">
        <v>0</v>
      </c>
      <c r="U6">
        <v>0</v>
      </c>
      <c r="V6">
        <v>3203600</v>
      </c>
      <c r="W6" t="s">
        <v>492</v>
      </c>
      <c r="X6" t="s">
        <v>506</v>
      </c>
      <c r="Y6" t="s">
        <v>483</v>
      </c>
      <c r="Z6" t="s">
        <v>50</v>
      </c>
      <c r="AA6">
        <v>0</v>
      </c>
      <c r="AB6">
        <v>0</v>
      </c>
      <c r="AC6">
        <v>3304400</v>
      </c>
      <c r="AD6" t="s">
        <v>494</v>
      </c>
      <c r="AE6">
        <v>2</v>
      </c>
      <c r="AF6">
        <v>0</v>
      </c>
      <c r="AG6" t="s">
        <v>53</v>
      </c>
      <c r="AH6" t="s">
        <v>72</v>
      </c>
      <c r="AI6" t="s">
        <v>73</v>
      </c>
      <c r="AJ6" t="s">
        <v>74</v>
      </c>
      <c r="AK6" t="s">
        <v>485</v>
      </c>
      <c r="AL6">
        <v>0</v>
      </c>
      <c r="AM6">
        <v>0</v>
      </c>
      <c r="AN6" t="s">
        <v>50</v>
      </c>
      <c r="AO6" t="s">
        <v>483</v>
      </c>
      <c r="AP6" t="s">
        <v>492</v>
      </c>
      <c r="AR6" t="s">
        <v>506</v>
      </c>
      <c r="AS6">
        <v>3203600</v>
      </c>
      <c r="AT6" t="s">
        <v>83</v>
      </c>
      <c r="AU6">
        <v>2</v>
      </c>
    </row>
    <row r="7" spans="1:47" x14ac:dyDescent="0.3">
      <c r="A7" t="s">
        <v>507</v>
      </c>
      <c r="B7" t="s">
        <v>508</v>
      </c>
      <c r="C7" t="s">
        <v>489</v>
      </c>
      <c r="D7" t="s">
        <v>490</v>
      </c>
      <c r="E7" t="s">
        <v>509</v>
      </c>
      <c r="F7" t="s">
        <v>63</v>
      </c>
      <c r="G7">
        <v>1</v>
      </c>
      <c r="H7">
        <v>10</v>
      </c>
      <c r="I7" t="s">
        <v>1073</v>
      </c>
      <c r="J7" s="24" t="s">
        <v>1061</v>
      </c>
      <c r="K7" t="str">
        <f t="shared" si="0"/>
        <v>08/KPTS/Gs/2026</v>
      </c>
      <c r="L7" t="s">
        <v>81</v>
      </c>
      <c r="M7" t="s">
        <v>65</v>
      </c>
      <c r="N7">
        <v>3203600</v>
      </c>
      <c r="O7" t="s">
        <v>492</v>
      </c>
      <c r="Q7" t="s">
        <v>510</v>
      </c>
      <c r="R7" t="s">
        <v>483</v>
      </c>
      <c r="T7">
        <v>0</v>
      </c>
      <c r="U7">
        <v>0</v>
      </c>
      <c r="V7">
        <v>3203600</v>
      </c>
      <c r="W7" t="s">
        <v>492</v>
      </c>
      <c r="X7" t="s">
        <v>510</v>
      </c>
      <c r="Y7" t="s">
        <v>483</v>
      </c>
      <c r="Z7" t="s">
        <v>50</v>
      </c>
      <c r="AA7">
        <v>0</v>
      </c>
      <c r="AB7">
        <v>0</v>
      </c>
      <c r="AC7">
        <v>3304400</v>
      </c>
      <c r="AD7" t="s">
        <v>494</v>
      </c>
      <c r="AE7">
        <v>2</v>
      </c>
      <c r="AF7">
        <v>0</v>
      </c>
      <c r="AG7" t="s">
        <v>53</v>
      </c>
      <c r="AH7" t="s">
        <v>72</v>
      </c>
      <c r="AI7" t="s">
        <v>73</v>
      </c>
      <c r="AJ7" t="s">
        <v>74</v>
      </c>
      <c r="AK7" t="s">
        <v>485</v>
      </c>
      <c r="AL7">
        <v>0</v>
      </c>
      <c r="AM7">
        <v>0</v>
      </c>
      <c r="AN7" t="s">
        <v>50</v>
      </c>
      <c r="AO7" t="s">
        <v>483</v>
      </c>
      <c r="AP7" t="s">
        <v>492</v>
      </c>
      <c r="AR7" t="s">
        <v>510</v>
      </c>
      <c r="AS7">
        <v>3203600</v>
      </c>
      <c r="AT7" t="s">
        <v>83</v>
      </c>
      <c r="AU7">
        <v>2</v>
      </c>
    </row>
    <row r="8" spans="1:47" x14ac:dyDescent="0.3">
      <c r="A8" t="s">
        <v>511</v>
      </c>
      <c r="B8" t="s">
        <v>512</v>
      </c>
      <c r="C8" t="s">
        <v>489</v>
      </c>
      <c r="D8" t="s">
        <v>490</v>
      </c>
      <c r="E8" t="s">
        <v>80</v>
      </c>
      <c r="F8" t="s">
        <v>63</v>
      </c>
      <c r="G8">
        <v>1</v>
      </c>
      <c r="H8">
        <v>10</v>
      </c>
      <c r="I8" t="s">
        <v>1073</v>
      </c>
      <c r="J8" s="24" t="s">
        <v>1062</v>
      </c>
      <c r="K8" t="str">
        <f t="shared" si="0"/>
        <v>09/KPTS/Gs/2026</v>
      </c>
      <c r="L8" t="s">
        <v>81</v>
      </c>
      <c r="M8" t="s">
        <v>65</v>
      </c>
      <c r="N8">
        <v>3203600</v>
      </c>
      <c r="O8" t="s">
        <v>492</v>
      </c>
      <c r="Q8" t="s">
        <v>513</v>
      </c>
      <c r="R8" t="s">
        <v>483</v>
      </c>
      <c r="T8">
        <v>0</v>
      </c>
      <c r="U8">
        <v>0</v>
      </c>
      <c r="V8">
        <v>3203600</v>
      </c>
      <c r="W8" t="s">
        <v>492</v>
      </c>
      <c r="X8" t="s">
        <v>513</v>
      </c>
      <c r="Y8" t="s">
        <v>483</v>
      </c>
      <c r="Z8" t="s">
        <v>50</v>
      </c>
      <c r="AA8">
        <v>0</v>
      </c>
      <c r="AB8">
        <v>0</v>
      </c>
      <c r="AC8">
        <v>3304400</v>
      </c>
      <c r="AD8" t="s">
        <v>494</v>
      </c>
      <c r="AE8">
        <v>2</v>
      </c>
      <c r="AF8">
        <v>0</v>
      </c>
      <c r="AG8" t="s">
        <v>53</v>
      </c>
      <c r="AH8" t="s">
        <v>72</v>
      </c>
      <c r="AI8" t="s">
        <v>73</v>
      </c>
      <c r="AJ8" t="s">
        <v>74</v>
      </c>
      <c r="AK8" t="s">
        <v>485</v>
      </c>
      <c r="AL8">
        <v>0</v>
      </c>
      <c r="AM8">
        <v>0</v>
      </c>
      <c r="AN8" t="s">
        <v>50</v>
      </c>
      <c r="AO8" t="s">
        <v>483</v>
      </c>
      <c r="AP8" t="s">
        <v>492</v>
      </c>
      <c r="AR8" t="s">
        <v>513</v>
      </c>
      <c r="AS8">
        <v>3203600</v>
      </c>
      <c r="AT8" t="s">
        <v>83</v>
      </c>
      <c r="AU8">
        <v>2</v>
      </c>
    </row>
    <row r="9" spans="1:47" x14ac:dyDescent="0.3">
      <c r="A9" t="s">
        <v>514</v>
      </c>
      <c r="B9" t="s">
        <v>515</v>
      </c>
      <c r="C9" t="s">
        <v>516</v>
      </c>
      <c r="D9" t="s">
        <v>517</v>
      </c>
      <c r="E9" t="s">
        <v>62</v>
      </c>
      <c r="F9" t="s">
        <v>63</v>
      </c>
      <c r="G9">
        <v>1</v>
      </c>
      <c r="H9">
        <v>10</v>
      </c>
      <c r="I9" t="s">
        <v>1073</v>
      </c>
      <c r="J9" s="24" t="s">
        <v>1063</v>
      </c>
      <c r="K9" t="str">
        <f t="shared" si="0"/>
        <v>10/KPTS/Gs/2026</v>
      </c>
      <c r="L9" t="s">
        <v>48</v>
      </c>
      <c r="M9" t="s">
        <v>65</v>
      </c>
      <c r="N9">
        <v>3480300</v>
      </c>
      <c r="O9" t="s">
        <v>518</v>
      </c>
      <c r="Q9" t="s">
        <v>519</v>
      </c>
      <c r="R9" t="s">
        <v>483</v>
      </c>
      <c r="T9">
        <v>0</v>
      </c>
      <c r="U9">
        <v>0</v>
      </c>
      <c r="V9">
        <v>3480300</v>
      </c>
      <c r="W9" t="s">
        <v>518</v>
      </c>
      <c r="X9" t="s">
        <v>519</v>
      </c>
      <c r="Y9" t="s">
        <v>483</v>
      </c>
      <c r="Z9" t="s">
        <v>50</v>
      </c>
      <c r="AA9">
        <v>0</v>
      </c>
      <c r="AB9">
        <v>0</v>
      </c>
      <c r="AC9">
        <v>3589900</v>
      </c>
      <c r="AD9" t="s">
        <v>520</v>
      </c>
      <c r="AE9">
        <v>2</v>
      </c>
      <c r="AF9">
        <v>0</v>
      </c>
      <c r="AG9" t="s">
        <v>53</v>
      </c>
      <c r="AH9" t="s">
        <v>72</v>
      </c>
      <c r="AI9" t="s">
        <v>73</v>
      </c>
      <c r="AJ9" t="s">
        <v>74</v>
      </c>
      <c r="AK9" t="s">
        <v>485</v>
      </c>
      <c r="AL9">
        <v>0</v>
      </c>
      <c r="AM9">
        <v>0</v>
      </c>
      <c r="AN9" t="s">
        <v>50</v>
      </c>
      <c r="AO9" t="s">
        <v>483</v>
      </c>
      <c r="AP9" t="s">
        <v>518</v>
      </c>
      <c r="AR9" t="s">
        <v>519</v>
      </c>
      <c r="AS9">
        <v>3480300</v>
      </c>
      <c r="AT9" t="s">
        <v>83</v>
      </c>
      <c r="AU9">
        <v>2</v>
      </c>
    </row>
    <row r="10" spans="1:47" x14ac:dyDescent="0.3">
      <c r="A10" t="s">
        <v>521</v>
      </c>
      <c r="B10" t="s">
        <v>522</v>
      </c>
      <c r="C10" t="s">
        <v>516</v>
      </c>
      <c r="D10" t="s">
        <v>517</v>
      </c>
      <c r="E10" t="s">
        <v>62</v>
      </c>
      <c r="F10" t="s">
        <v>99</v>
      </c>
      <c r="G10">
        <v>1</v>
      </c>
      <c r="H10">
        <v>10</v>
      </c>
      <c r="I10" t="s">
        <v>1073</v>
      </c>
      <c r="J10" s="24" t="s">
        <v>1064</v>
      </c>
      <c r="K10" t="str">
        <f t="shared" si="0"/>
        <v>11/KPTS/Gs/2026</v>
      </c>
      <c r="L10" t="s">
        <v>81</v>
      </c>
      <c r="M10" t="s">
        <v>100</v>
      </c>
      <c r="N10">
        <v>3480300</v>
      </c>
      <c r="O10" t="s">
        <v>518</v>
      </c>
      <c r="Q10" t="s">
        <v>523</v>
      </c>
      <c r="R10" t="s">
        <v>483</v>
      </c>
      <c r="T10">
        <v>0</v>
      </c>
      <c r="U10">
        <v>0</v>
      </c>
      <c r="V10">
        <v>3480300</v>
      </c>
      <c r="W10" t="s">
        <v>518</v>
      </c>
      <c r="X10" t="s">
        <v>523</v>
      </c>
      <c r="Y10" t="s">
        <v>483</v>
      </c>
      <c r="Z10" t="s">
        <v>50</v>
      </c>
      <c r="AA10">
        <v>0</v>
      </c>
      <c r="AB10">
        <v>0</v>
      </c>
      <c r="AC10">
        <v>3589900</v>
      </c>
      <c r="AD10" t="s">
        <v>520</v>
      </c>
      <c r="AE10">
        <v>2</v>
      </c>
      <c r="AF10">
        <v>0</v>
      </c>
      <c r="AG10" t="s">
        <v>53</v>
      </c>
      <c r="AH10" t="s">
        <v>72</v>
      </c>
      <c r="AI10" t="s">
        <v>73</v>
      </c>
      <c r="AJ10" t="s">
        <v>74</v>
      </c>
      <c r="AK10" t="s">
        <v>485</v>
      </c>
      <c r="AL10">
        <v>0</v>
      </c>
      <c r="AM10">
        <v>0</v>
      </c>
      <c r="AN10" t="s">
        <v>50</v>
      </c>
      <c r="AO10" t="s">
        <v>483</v>
      </c>
      <c r="AP10" t="s">
        <v>518</v>
      </c>
      <c r="AR10" t="s">
        <v>523</v>
      </c>
      <c r="AS10">
        <v>3480300</v>
      </c>
      <c r="AT10" t="s">
        <v>83</v>
      </c>
      <c r="AU10">
        <v>2</v>
      </c>
    </row>
    <row r="11" spans="1:47" x14ac:dyDescent="0.3">
      <c r="A11" t="s">
        <v>524</v>
      </c>
      <c r="B11" t="s">
        <v>525</v>
      </c>
      <c r="C11" t="s">
        <v>516</v>
      </c>
      <c r="D11" t="s">
        <v>517</v>
      </c>
      <c r="E11" t="s">
        <v>62</v>
      </c>
      <c r="F11" t="s">
        <v>99</v>
      </c>
      <c r="G11">
        <v>1</v>
      </c>
      <c r="H11">
        <v>10</v>
      </c>
      <c r="I11" t="s">
        <v>1073</v>
      </c>
      <c r="J11" s="24" t="s">
        <v>1065</v>
      </c>
      <c r="K11" t="str">
        <f t="shared" si="0"/>
        <v>12/KPTS/Gs/2026</v>
      </c>
      <c r="L11" t="s">
        <v>48</v>
      </c>
      <c r="M11" t="s">
        <v>100</v>
      </c>
      <c r="N11">
        <v>3480300</v>
      </c>
      <c r="O11" t="s">
        <v>518</v>
      </c>
      <c r="Q11" t="s">
        <v>526</v>
      </c>
      <c r="R11" t="s">
        <v>483</v>
      </c>
      <c r="S11" t="s">
        <v>50</v>
      </c>
      <c r="T11">
        <v>0</v>
      </c>
      <c r="U11">
        <v>0</v>
      </c>
      <c r="V11">
        <v>3480300</v>
      </c>
      <c r="W11" t="s">
        <v>518</v>
      </c>
      <c r="X11" t="s">
        <v>526</v>
      </c>
      <c r="Y11" t="s">
        <v>483</v>
      </c>
      <c r="Z11" t="s">
        <v>50</v>
      </c>
      <c r="AA11">
        <v>0</v>
      </c>
      <c r="AB11">
        <v>0</v>
      </c>
      <c r="AC11">
        <v>3589900</v>
      </c>
      <c r="AD11" t="s">
        <v>520</v>
      </c>
      <c r="AE11">
        <v>2</v>
      </c>
      <c r="AF11">
        <v>0</v>
      </c>
      <c r="AG11" t="s">
        <v>53</v>
      </c>
      <c r="AH11" t="s">
        <v>72</v>
      </c>
      <c r="AI11" t="s">
        <v>73</v>
      </c>
      <c r="AJ11" t="s">
        <v>74</v>
      </c>
      <c r="AK11" t="s">
        <v>485</v>
      </c>
      <c r="AL11">
        <v>0</v>
      </c>
      <c r="AM11">
        <v>0</v>
      </c>
      <c r="AN11" t="s">
        <v>50</v>
      </c>
      <c r="AO11" t="s">
        <v>483</v>
      </c>
      <c r="AP11" t="s">
        <v>518</v>
      </c>
      <c r="AQ11" t="s">
        <v>486</v>
      </c>
      <c r="AR11" t="s">
        <v>526</v>
      </c>
      <c r="AS11">
        <v>3480300</v>
      </c>
      <c r="AT11" t="s">
        <v>83</v>
      </c>
      <c r="AU11">
        <v>2</v>
      </c>
    </row>
    <row r="12" spans="1:47" x14ac:dyDescent="0.3">
      <c r="A12" t="s">
        <v>527</v>
      </c>
      <c r="B12" t="s">
        <v>528</v>
      </c>
      <c r="C12" t="s">
        <v>489</v>
      </c>
      <c r="D12" t="s">
        <v>490</v>
      </c>
      <c r="E12" t="s">
        <v>80</v>
      </c>
      <c r="F12" t="s">
        <v>99</v>
      </c>
      <c r="G12">
        <v>1</v>
      </c>
      <c r="H12">
        <v>10</v>
      </c>
      <c r="I12" t="s">
        <v>1073</v>
      </c>
      <c r="J12" s="24" t="s">
        <v>1066</v>
      </c>
      <c r="K12" t="str">
        <f t="shared" si="0"/>
        <v>13/KPTS/Gs/2026</v>
      </c>
      <c r="L12" t="s">
        <v>48</v>
      </c>
      <c r="M12" t="s">
        <v>100</v>
      </c>
      <c r="N12">
        <v>3203600</v>
      </c>
      <c r="O12" t="s">
        <v>492</v>
      </c>
      <c r="Q12" t="s">
        <v>529</v>
      </c>
      <c r="R12" t="s">
        <v>483</v>
      </c>
      <c r="T12">
        <v>0</v>
      </c>
      <c r="U12">
        <v>0</v>
      </c>
      <c r="V12">
        <v>3203600</v>
      </c>
      <c r="W12" t="s">
        <v>492</v>
      </c>
      <c r="X12" t="s">
        <v>529</v>
      </c>
      <c r="Y12" t="s">
        <v>483</v>
      </c>
      <c r="Z12" t="s">
        <v>50</v>
      </c>
      <c r="AA12">
        <v>0</v>
      </c>
      <c r="AB12">
        <v>0</v>
      </c>
      <c r="AC12">
        <v>3304400</v>
      </c>
      <c r="AD12" t="s">
        <v>494</v>
      </c>
      <c r="AE12">
        <v>2</v>
      </c>
      <c r="AF12">
        <v>0</v>
      </c>
      <c r="AG12" t="s">
        <v>53</v>
      </c>
      <c r="AH12" t="s">
        <v>72</v>
      </c>
      <c r="AI12" t="s">
        <v>73</v>
      </c>
      <c r="AJ12" t="s">
        <v>74</v>
      </c>
      <c r="AK12" t="s">
        <v>485</v>
      </c>
      <c r="AL12">
        <v>0</v>
      </c>
      <c r="AM12">
        <v>0</v>
      </c>
      <c r="AN12" t="s">
        <v>50</v>
      </c>
      <c r="AO12" t="s">
        <v>483</v>
      </c>
      <c r="AP12" t="s">
        <v>492</v>
      </c>
      <c r="AR12" t="s">
        <v>529</v>
      </c>
      <c r="AS12">
        <v>3203600</v>
      </c>
      <c r="AT12" t="s">
        <v>83</v>
      </c>
      <c r="AU12">
        <v>2</v>
      </c>
    </row>
    <row r="13" spans="1:47" x14ac:dyDescent="0.3">
      <c r="A13" t="s">
        <v>530</v>
      </c>
      <c r="B13" t="s">
        <v>531</v>
      </c>
      <c r="C13" t="s">
        <v>477</v>
      </c>
      <c r="D13" t="s">
        <v>478</v>
      </c>
      <c r="E13" t="s">
        <v>532</v>
      </c>
      <c r="F13" t="s">
        <v>137</v>
      </c>
      <c r="G13">
        <v>1</v>
      </c>
      <c r="H13">
        <v>10</v>
      </c>
      <c r="I13" t="s">
        <v>1073</v>
      </c>
      <c r="J13" s="24" t="s">
        <v>1057</v>
      </c>
      <c r="K13" t="str">
        <f t="shared" si="0"/>
        <v>14/KPTS/Gs/2026</v>
      </c>
      <c r="L13" t="s">
        <v>48</v>
      </c>
      <c r="M13" t="s">
        <v>138</v>
      </c>
      <c r="N13">
        <v>2858800</v>
      </c>
      <c r="O13" t="s">
        <v>481</v>
      </c>
      <c r="Q13" t="s">
        <v>533</v>
      </c>
      <c r="R13" t="s">
        <v>483</v>
      </c>
      <c r="S13" t="s">
        <v>50</v>
      </c>
      <c r="T13">
        <v>0</v>
      </c>
      <c r="U13">
        <v>0</v>
      </c>
      <c r="V13">
        <v>2858800</v>
      </c>
      <c r="W13" t="s">
        <v>481</v>
      </c>
      <c r="X13" t="s">
        <v>533</v>
      </c>
      <c r="Y13" t="s">
        <v>483</v>
      </c>
      <c r="Z13" t="s">
        <v>50</v>
      </c>
      <c r="AA13">
        <v>0</v>
      </c>
      <c r="AB13">
        <v>0</v>
      </c>
      <c r="AC13">
        <v>2948800</v>
      </c>
      <c r="AD13" t="s">
        <v>484</v>
      </c>
      <c r="AE13">
        <v>5</v>
      </c>
      <c r="AF13">
        <v>0</v>
      </c>
      <c r="AG13" t="s">
        <v>53</v>
      </c>
      <c r="AH13" t="s">
        <v>72</v>
      </c>
      <c r="AI13" t="s">
        <v>73</v>
      </c>
      <c r="AJ13" t="s">
        <v>74</v>
      </c>
      <c r="AK13" t="s">
        <v>485</v>
      </c>
      <c r="AL13">
        <v>3</v>
      </c>
      <c r="AM13">
        <v>0</v>
      </c>
      <c r="AN13" t="s">
        <v>50</v>
      </c>
      <c r="AO13" t="s">
        <v>483</v>
      </c>
      <c r="AP13" t="s">
        <v>481</v>
      </c>
      <c r="AQ13" t="s">
        <v>486</v>
      </c>
      <c r="AR13" t="s">
        <v>533</v>
      </c>
      <c r="AS13">
        <v>2858800</v>
      </c>
      <c r="AT13" t="s">
        <v>982</v>
      </c>
      <c r="AU13">
        <v>2</v>
      </c>
    </row>
    <row r="14" spans="1:47" x14ac:dyDescent="0.3">
      <c r="A14" t="s">
        <v>534</v>
      </c>
      <c r="B14" t="s">
        <v>535</v>
      </c>
      <c r="C14" t="s">
        <v>489</v>
      </c>
      <c r="D14" t="s">
        <v>490</v>
      </c>
      <c r="E14" t="s">
        <v>80</v>
      </c>
      <c r="F14" t="s">
        <v>137</v>
      </c>
      <c r="G14">
        <v>1</v>
      </c>
      <c r="H14">
        <v>10</v>
      </c>
      <c r="I14" t="s">
        <v>1073</v>
      </c>
      <c r="J14" s="24" t="s">
        <v>1067</v>
      </c>
      <c r="K14" t="str">
        <f t="shared" si="0"/>
        <v>15/KPTS/Gs/2026</v>
      </c>
      <c r="L14" t="s">
        <v>48</v>
      </c>
      <c r="M14" t="s">
        <v>138</v>
      </c>
      <c r="N14">
        <v>3203600</v>
      </c>
      <c r="O14" t="s">
        <v>492</v>
      </c>
      <c r="Q14" t="s">
        <v>536</v>
      </c>
      <c r="R14" t="s">
        <v>483</v>
      </c>
      <c r="T14">
        <v>0</v>
      </c>
      <c r="U14">
        <v>0</v>
      </c>
      <c r="V14">
        <v>3203600</v>
      </c>
      <c r="W14" t="s">
        <v>492</v>
      </c>
      <c r="X14" t="s">
        <v>536</v>
      </c>
      <c r="Y14" t="s">
        <v>483</v>
      </c>
      <c r="Z14" t="s">
        <v>50</v>
      </c>
      <c r="AA14">
        <v>0</v>
      </c>
      <c r="AB14">
        <v>0</v>
      </c>
      <c r="AC14">
        <v>3304400</v>
      </c>
      <c r="AD14" t="s">
        <v>494</v>
      </c>
      <c r="AE14">
        <v>2</v>
      </c>
      <c r="AF14">
        <v>0</v>
      </c>
      <c r="AG14" t="s">
        <v>53</v>
      </c>
      <c r="AH14" t="s">
        <v>72</v>
      </c>
      <c r="AI14" t="s">
        <v>73</v>
      </c>
      <c r="AJ14" t="s">
        <v>74</v>
      </c>
      <c r="AK14" t="s">
        <v>485</v>
      </c>
      <c r="AL14">
        <v>0</v>
      </c>
      <c r="AM14">
        <v>0</v>
      </c>
      <c r="AN14" t="s">
        <v>50</v>
      </c>
      <c r="AO14" t="s">
        <v>483</v>
      </c>
      <c r="AP14" t="s">
        <v>492</v>
      </c>
      <c r="AR14" t="s">
        <v>536</v>
      </c>
      <c r="AS14">
        <v>3203600</v>
      </c>
      <c r="AT14" t="s">
        <v>83</v>
      </c>
      <c r="AU14">
        <v>2</v>
      </c>
    </row>
    <row r="15" spans="1:47" x14ac:dyDescent="0.3">
      <c r="A15" t="s">
        <v>537</v>
      </c>
      <c r="B15" t="s">
        <v>538</v>
      </c>
      <c r="C15" t="s">
        <v>489</v>
      </c>
      <c r="D15" t="s">
        <v>490</v>
      </c>
      <c r="E15" t="s">
        <v>539</v>
      </c>
      <c r="F15" t="s">
        <v>137</v>
      </c>
      <c r="G15">
        <v>1</v>
      </c>
      <c r="H15">
        <v>10</v>
      </c>
      <c r="I15" t="s">
        <v>1073</v>
      </c>
      <c r="J15" s="24" t="s">
        <v>1068</v>
      </c>
      <c r="K15" t="str">
        <f t="shared" si="0"/>
        <v>16/KPTS/Gs/2026</v>
      </c>
      <c r="L15" t="s">
        <v>48</v>
      </c>
      <c r="M15" t="s">
        <v>138</v>
      </c>
      <c r="N15">
        <v>3203600</v>
      </c>
      <c r="O15" t="s">
        <v>492</v>
      </c>
      <c r="Q15" t="s">
        <v>540</v>
      </c>
      <c r="R15" t="s">
        <v>483</v>
      </c>
      <c r="T15">
        <v>0</v>
      </c>
      <c r="U15">
        <v>0</v>
      </c>
      <c r="V15">
        <v>3203600</v>
      </c>
      <c r="W15" t="s">
        <v>492</v>
      </c>
      <c r="X15" t="s">
        <v>540</v>
      </c>
      <c r="Y15" t="s">
        <v>483</v>
      </c>
      <c r="Z15" t="s">
        <v>50</v>
      </c>
      <c r="AA15">
        <v>0</v>
      </c>
      <c r="AB15">
        <v>0</v>
      </c>
      <c r="AC15">
        <v>3304400</v>
      </c>
      <c r="AD15" t="s">
        <v>494</v>
      </c>
      <c r="AE15">
        <v>2</v>
      </c>
      <c r="AF15">
        <v>0</v>
      </c>
      <c r="AG15" t="s">
        <v>53</v>
      </c>
      <c r="AH15" t="s">
        <v>72</v>
      </c>
      <c r="AI15" t="s">
        <v>73</v>
      </c>
      <c r="AJ15" t="s">
        <v>74</v>
      </c>
      <c r="AK15" t="s">
        <v>485</v>
      </c>
      <c r="AL15">
        <v>0</v>
      </c>
      <c r="AM15">
        <v>0</v>
      </c>
      <c r="AN15" t="s">
        <v>50</v>
      </c>
      <c r="AO15" t="s">
        <v>483</v>
      </c>
      <c r="AP15" t="s">
        <v>492</v>
      </c>
      <c r="AR15" t="s">
        <v>540</v>
      </c>
      <c r="AS15">
        <v>3203600</v>
      </c>
      <c r="AT15" t="s">
        <v>981</v>
      </c>
      <c r="AU15">
        <v>2</v>
      </c>
    </row>
    <row r="16" spans="1:47" x14ac:dyDescent="0.3">
      <c r="A16" t="s">
        <v>541</v>
      </c>
      <c r="B16" t="s">
        <v>542</v>
      </c>
      <c r="C16" t="s">
        <v>516</v>
      </c>
      <c r="D16" t="s">
        <v>517</v>
      </c>
      <c r="E16" t="s">
        <v>62</v>
      </c>
      <c r="F16" t="s">
        <v>137</v>
      </c>
      <c r="G16">
        <v>1</v>
      </c>
      <c r="H16">
        <v>10</v>
      </c>
      <c r="I16" t="s">
        <v>1073</v>
      </c>
      <c r="J16" s="24" t="s">
        <v>1069</v>
      </c>
      <c r="K16" t="str">
        <f t="shared" si="0"/>
        <v>17/KPTS/Gs/2026</v>
      </c>
      <c r="L16" t="s">
        <v>48</v>
      </c>
      <c r="M16" t="s">
        <v>138</v>
      </c>
      <c r="N16">
        <v>3480300</v>
      </c>
      <c r="O16" t="s">
        <v>518</v>
      </c>
      <c r="Q16" t="s">
        <v>543</v>
      </c>
      <c r="R16" t="s">
        <v>483</v>
      </c>
      <c r="T16">
        <v>0</v>
      </c>
      <c r="U16">
        <v>0</v>
      </c>
      <c r="V16">
        <v>3480300</v>
      </c>
      <c r="W16" t="s">
        <v>518</v>
      </c>
      <c r="X16" t="s">
        <v>543</v>
      </c>
      <c r="Y16" t="s">
        <v>483</v>
      </c>
      <c r="Z16" t="s">
        <v>50</v>
      </c>
      <c r="AA16">
        <v>0</v>
      </c>
      <c r="AB16">
        <v>0</v>
      </c>
      <c r="AC16">
        <v>3589900</v>
      </c>
      <c r="AD16" t="s">
        <v>520</v>
      </c>
      <c r="AE16">
        <v>2</v>
      </c>
      <c r="AF16">
        <v>0</v>
      </c>
      <c r="AG16" t="s">
        <v>53</v>
      </c>
      <c r="AH16" t="s">
        <v>72</v>
      </c>
      <c r="AI16" t="s">
        <v>73</v>
      </c>
      <c r="AJ16" t="s">
        <v>74</v>
      </c>
      <c r="AK16" t="s">
        <v>485</v>
      </c>
      <c r="AL16">
        <v>0</v>
      </c>
      <c r="AM16">
        <v>0</v>
      </c>
      <c r="AN16" t="s">
        <v>50</v>
      </c>
      <c r="AO16" t="s">
        <v>483</v>
      </c>
      <c r="AP16" t="s">
        <v>518</v>
      </c>
      <c r="AR16" t="s">
        <v>543</v>
      </c>
      <c r="AS16">
        <v>3480300</v>
      </c>
      <c r="AT16" t="s">
        <v>83</v>
      </c>
      <c r="AU16">
        <v>2</v>
      </c>
    </row>
    <row r="17" spans="1:47" x14ac:dyDescent="0.3">
      <c r="A17" t="s">
        <v>544</v>
      </c>
      <c r="B17" t="s">
        <v>545</v>
      </c>
      <c r="C17" t="s">
        <v>489</v>
      </c>
      <c r="D17" t="s">
        <v>490</v>
      </c>
      <c r="E17" t="s">
        <v>221</v>
      </c>
      <c r="F17" t="s">
        <v>162</v>
      </c>
      <c r="G17">
        <v>1</v>
      </c>
      <c r="H17">
        <v>10</v>
      </c>
      <c r="I17" t="s">
        <v>1073</v>
      </c>
      <c r="J17" s="24" t="s">
        <v>1070</v>
      </c>
      <c r="K17" t="str">
        <f t="shared" si="0"/>
        <v>18/KPTS/Gs/2026</v>
      </c>
      <c r="L17" t="s">
        <v>48</v>
      </c>
      <c r="M17" t="s">
        <v>163</v>
      </c>
      <c r="N17">
        <v>3203600</v>
      </c>
      <c r="O17" t="s">
        <v>492</v>
      </c>
      <c r="Q17" t="s">
        <v>546</v>
      </c>
      <c r="R17" t="s">
        <v>483</v>
      </c>
      <c r="S17" t="s">
        <v>50</v>
      </c>
      <c r="T17">
        <v>0</v>
      </c>
      <c r="U17">
        <v>0</v>
      </c>
      <c r="V17">
        <v>3203600</v>
      </c>
      <c r="W17" t="s">
        <v>492</v>
      </c>
      <c r="X17" t="s">
        <v>546</v>
      </c>
      <c r="Y17" t="s">
        <v>483</v>
      </c>
      <c r="Z17" t="s">
        <v>50</v>
      </c>
      <c r="AA17">
        <v>0</v>
      </c>
      <c r="AB17">
        <v>0</v>
      </c>
      <c r="AC17">
        <v>3304400</v>
      </c>
      <c r="AD17" t="s">
        <v>494</v>
      </c>
      <c r="AE17">
        <v>2</v>
      </c>
      <c r="AF17">
        <v>0</v>
      </c>
      <c r="AG17" t="s">
        <v>53</v>
      </c>
      <c r="AH17" t="s">
        <v>72</v>
      </c>
      <c r="AI17" t="s">
        <v>73</v>
      </c>
      <c r="AJ17" t="s">
        <v>74</v>
      </c>
      <c r="AK17" t="s">
        <v>485</v>
      </c>
      <c r="AL17">
        <v>0</v>
      </c>
      <c r="AM17">
        <v>0</v>
      </c>
      <c r="AN17" t="s">
        <v>50</v>
      </c>
      <c r="AO17" t="s">
        <v>483</v>
      </c>
      <c r="AP17" t="s">
        <v>492</v>
      </c>
      <c r="AQ17" t="s">
        <v>486</v>
      </c>
      <c r="AR17" t="s">
        <v>546</v>
      </c>
      <c r="AS17">
        <v>3203600</v>
      </c>
      <c r="AT17" t="s">
        <v>983</v>
      </c>
      <c r="AU17">
        <v>2</v>
      </c>
    </row>
    <row r="18" spans="1:47" x14ac:dyDescent="0.3">
      <c r="A18" t="s">
        <v>547</v>
      </c>
      <c r="B18" t="s">
        <v>548</v>
      </c>
      <c r="C18" t="s">
        <v>489</v>
      </c>
      <c r="D18" t="s">
        <v>490</v>
      </c>
      <c r="E18" t="s">
        <v>80</v>
      </c>
      <c r="F18" t="s">
        <v>162</v>
      </c>
      <c r="G18">
        <v>1</v>
      </c>
      <c r="H18">
        <v>10</v>
      </c>
      <c r="I18" t="s">
        <v>1073</v>
      </c>
      <c r="J18" s="24" t="s">
        <v>1071</v>
      </c>
      <c r="K18" t="str">
        <f t="shared" si="0"/>
        <v>19/KPTS/Gs/2026</v>
      </c>
      <c r="L18" t="s">
        <v>81</v>
      </c>
      <c r="M18" t="s">
        <v>163</v>
      </c>
      <c r="N18">
        <v>3203600</v>
      </c>
      <c r="O18" t="s">
        <v>492</v>
      </c>
      <c r="Q18" t="s">
        <v>549</v>
      </c>
      <c r="R18" t="s">
        <v>483</v>
      </c>
      <c r="S18" t="s">
        <v>50</v>
      </c>
      <c r="T18">
        <v>0</v>
      </c>
      <c r="U18">
        <v>0</v>
      </c>
      <c r="V18">
        <v>3203600</v>
      </c>
      <c r="W18" t="s">
        <v>492</v>
      </c>
      <c r="X18" t="s">
        <v>549</v>
      </c>
      <c r="Y18" t="s">
        <v>483</v>
      </c>
      <c r="Z18" t="s">
        <v>50</v>
      </c>
      <c r="AA18">
        <v>0</v>
      </c>
      <c r="AB18">
        <v>0</v>
      </c>
      <c r="AC18">
        <v>3304400</v>
      </c>
      <c r="AD18" t="s">
        <v>494</v>
      </c>
      <c r="AE18">
        <v>2</v>
      </c>
      <c r="AF18">
        <v>0</v>
      </c>
      <c r="AG18" t="s">
        <v>53</v>
      </c>
      <c r="AH18" t="s">
        <v>72</v>
      </c>
      <c r="AI18" t="s">
        <v>73</v>
      </c>
      <c r="AJ18" t="s">
        <v>74</v>
      </c>
      <c r="AK18" t="s">
        <v>485</v>
      </c>
      <c r="AL18">
        <v>0</v>
      </c>
      <c r="AM18">
        <v>0</v>
      </c>
      <c r="AN18" t="s">
        <v>50</v>
      </c>
      <c r="AO18" t="s">
        <v>483</v>
      </c>
      <c r="AP18" t="s">
        <v>492</v>
      </c>
      <c r="AQ18" t="s">
        <v>486</v>
      </c>
      <c r="AR18" t="s">
        <v>549</v>
      </c>
      <c r="AS18">
        <v>3203600</v>
      </c>
      <c r="AT18" t="s">
        <v>83</v>
      </c>
      <c r="AU18">
        <v>2</v>
      </c>
    </row>
    <row r="19" spans="1:47" x14ac:dyDescent="0.3">
      <c r="A19" t="s">
        <v>550</v>
      </c>
      <c r="B19" t="s">
        <v>551</v>
      </c>
      <c r="C19" t="s">
        <v>489</v>
      </c>
      <c r="D19" t="s">
        <v>490</v>
      </c>
      <c r="E19" t="s">
        <v>80</v>
      </c>
      <c r="F19" t="s">
        <v>162</v>
      </c>
      <c r="G19">
        <v>1</v>
      </c>
      <c r="H19">
        <v>10</v>
      </c>
      <c r="I19" t="s">
        <v>1073</v>
      </c>
      <c r="J19" s="24" t="s">
        <v>1072</v>
      </c>
      <c r="K19" t="str">
        <f t="shared" si="0"/>
        <v>20/KPTS/Gs/2026</v>
      </c>
      <c r="L19" t="s">
        <v>81</v>
      </c>
      <c r="M19" t="s">
        <v>163</v>
      </c>
      <c r="N19">
        <v>3203600</v>
      </c>
      <c r="O19" t="s">
        <v>492</v>
      </c>
      <c r="Q19" t="s">
        <v>552</v>
      </c>
      <c r="R19" t="s">
        <v>483</v>
      </c>
      <c r="S19" t="s">
        <v>50</v>
      </c>
      <c r="T19">
        <v>0</v>
      </c>
      <c r="U19">
        <v>0</v>
      </c>
      <c r="V19">
        <v>3203600</v>
      </c>
      <c r="W19" t="s">
        <v>492</v>
      </c>
      <c r="X19" t="s">
        <v>552</v>
      </c>
      <c r="Y19" t="s">
        <v>483</v>
      </c>
      <c r="Z19" t="s">
        <v>50</v>
      </c>
      <c r="AA19">
        <v>0</v>
      </c>
      <c r="AB19">
        <v>0</v>
      </c>
      <c r="AC19">
        <v>3304400</v>
      </c>
      <c r="AD19" t="s">
        <v>494</v>
      </c>
      <c r="AE19">
        <v>2</v>
      </c>
      <c r="AF19">
        <v>0</v>
      </c>
      <c r="AG19" t="s">
        <v>53</v>
      </c>
      <c r="AH19" t="s">
        <v>72</v>
      </c>
      <c r="AI19" t="s">
        <v>73</v>
      </c>
      <c r="AJ19" t="s">
        <v>74</v>
      </c>
      <c r="AK19" t="s">
        <v>485</v>
      </c>
      <c r="AL19">
        <v>0</v>
      </c>
      <c r="AM19">
        <v>0</v>
      </c>
      <c r="AN19" t="s">
        <v>50</v>
      </c>
      <c r="AO19" t="s">
        <v>483</v>
      </c>
      <c r="AP19" t="s">
        <v>492</v>
      </c>
      <c r="AQ19" t="s">
        <v>486</v>
      </c>
      <c r="AR19" t="s">
        <v>552</v>
      </c>
      <c r="AS19">
        <v>3203600</v>
      </c>
      <c r="AT19" t="s">
        <v>83</v>
      </c>
      <c r="AU19">
        <v>2</v>
      </c>
    </row>
    <row r="20" spans="1:47" x14ac:dyDescent="0.3">
      <c r="A20" t="s">
        <v>553</v>
      </c>
      <c r="B20" t="s">
        <v>554</v>
      </c>
      <c r="C20" t="s">
        <v>477</v>
      </c>
      <c r="D20" t="s">
        <v>478</v>
      </c>
      <c r="E20" t="s">
        <v>479</v>
      </c>
      <c r="F20" t="s">
        <v>168</v>
      </c>
      <c r="G20">
        <v>1</v>
      </c>
      <c r="H20">
        <v>10</v>
      </c>
      <c r="I20" t="s">
        <v>47</v>
      </c>
      <c r="K20" t="s">
        <v>64</v>
      </c>
      <c r="L20" t="s">
        <v>81</v>
      </c>
      <c r="M20" t="s">
        <v>169</v>
      </c>
      <c r="N20">
        <v>2858800</v>
      </c>
      <c r="O20" t="s">
        <v>481</v>
      </c>
      <c r="Q20" t="s">
        <v>555</v>
      </c>
      <c r="R20" t="s">
        <v>483</v>
      </c>
      <c r="S20" t="s">
        <v>50</v>
      </c>
      <c r="T20">
        <v>0</v>
      </c>
      <c r="U20">
        <v>0</v>
      </c>
      <c r="V20">
        <v>2858800</v>
      </c>
      <c r="W20" t="s">
        <v>481</v>
      </c>
      <c r="X20" t="s">
        <v>555</v>
      </c>
      <c r="Y20" t="s">
        <v>483</v>
      </c>
      <c r="Z20" t="s">
        <v>50</v>
      </c>
      <c r="AA20">
        <v>0</v>
      </c>
      <c r="AB20">
        <v>0</v>
      </c>
      <c r="AC20">
        <v>2948800</v>
      </c>
      <c r="AD20" t="s">
        <v>484</v>
      </c>
      <c r="AE20">
        <v>5</v>
      </c>
      <c r="AF20">
        <v>0</v>
      </c>
      <c r="AG20" t="s">
        <v>53</v>
      </c>
      <c r="AH20" t="s">
        <v>72</v>
      </c>
      <c r="AI20" t="s">
        <v>73</v>
      </c>
      <c r="AJ20" t="s">
        <v>74</v>
      </c>
      <c r="AK20" t="s">
        <v>485</v>
      </c>
      <c r="AL20">
        <v>3</v>
      </c>
      <c r="AM20">
        <v>0</v>
      </c>
      <c r="AN20" t="s">
        <v>50</v>
      </c>
      <c r="AO20" t="s">
        <v>483</v>
      </c>
      <c r="AP20" t="s">
        <v>481</v>
      </c>
      <c r="AQ20" t="s">
        <v>486</v>
      </c>
      <c r="AR20" t="s">
        <v>555</v>
      </c>
      <c r="AS20">
        <v>2858800</v>
      </c>
      <c r="AT20" t="s">
        <v>984</v>
      </c>
      <c r="AU20">
        <v>2</v>
      </c>
    </row>
    <row r="21" spans="1:47" x14ac:dyDescent="0.3">
      <c r="A21" t="s">
        <v>556</v>
      </c>
      <c r="B21" t="s">
        <v>557</v>
      </c>
      <c r="C21" t="s">
        <v>477</v>
      </c>
      <c r="D21" t="s">
        <v>478</v>
      </c>
      <c r="E21" t="s">
        <v>558</v>
      </c>
      <c r="F21" t="s">
        <v>168</v>
      </c>
      <c r="G21">
        <v>1</v>
      </c>
      <c r="H21">
        <v>10</v>
      </c>
      <c r="I21" t="s">
        <v>47</v>
      </c>
      <c r="K21" t="s">
        <v>64</v>
      </c>
      <c r="L21" t="s">
        <v>48</v>
      </c>
      <c r="M21" t="s">
        <v>169</v>
      </c>
      <c r="N21">
        <v>2858800</v>
      </c>
      <c r="O21" t="s">
        <v>481</v>
      </c>
      <c r="Q21" t="s">
        <v>559</v>
      </c>
      <c r="R21" t="s">
        <v>483</v>
      </c>
      <c r="T21">
        <v>0</v>
      </c>
      <c r="U21">
        <v>0</v>
      </c>
      <c r="V21">
        <v>2858800</v>
      </c>
      <c r="W21" t="s">
        <v>481</v>
      </c>
      <c r="X21" t="s">
        <v>559</v>
      </c>
      <c r="Y21" t="s">
        <v>483</v>
      </c>
      <c r="Z21" t="s">
        <v>50</v>
      </c>
      <c r="AA21">
        <v>0</v>
      </c>
      <c r="AB21">
        <v>0</v>
      </c>
      <c r="AC21">
        <v>2948800</v>
      </c>
      <c r="AD21" t="s">
        <v>484</v>
      </c>
      <c r="AE21">
        <v>5</v>
      </c>
      <c r="AF21">
        <v>0</v>
      </c>
      <c r="AG21" t="s">
        <v>53</v>
      </c>
      <c r="AH21" t="s">
        <v>72</v>
      </c>
      <c r="AI21" t="s">
        <v>73</v>
      </c>
      <c r="AJ21" t="s">
        <v>74</v>
      </c>
      <c r="AK21" t="s">
        <v>485</v>
      </c>
      <c r="AL21">
        <v>3</v>
      </c>
      <c r="AM21">
        <v>0</v>
      </c>
      <c r="AN21" t="s">
        <v>50</v>
      </c>
      <c r="AO21" t="s">
        <v>483</v>
      </c>
      <c r="AP21" t="s">
        <v>481</v>
      </c>
      <c r="AR21" t="s">
        <v>559</v>
      </c>
      <c r="AS21">
        <v>2858800</v>
      </c>
      <c r="AT21" t="s">
        <v>83</v>
      </c>
      <c r="AU21">
        <v>2</v>
      </c>
    </row>
    <row r="22" spans="1:47" x14ac:dyDescent="0.3">
      <c r="A22" t="s">
        <v>560</v>
      </c>
      <c r="B22" t="s">
        <v>561</v>
      </c>
      <c r="C22" t="s">
        <v>477</v>
      </c>
      <c r="D22" t="s">
        <v>478</v>
      </c>
      <c r="E22" t="s">
        <v>558</v>
      </c>
      <c r="F22" t="s">
        <v>168</v>
      </c>
      <c r="G22">
        <v>1</v>
      </c>
      <c r="H22">
        <v>10</v>
      </c>
      <c r="I22" t="s">
        <v>47</v>
      </c>
      <c r="K22" t="s">
        <v>64</v>
      </c>
      <c r="L22" t="s">
        <v>48</v>
      </c>
      <c r="M22" t="s">
        <v>169</v>
      </c>
      <c r="N22">
        <v>2858800</v>
      </c>
      <c r="O22" t="s">
        <v>481</v>
      </c>
      <c r="Q22" t="s">
        <v>562</v>
      </c>
      <c r="R22" t="s">
        <v>483</v>
      </c>
      <c r="T22">
        <v>0</v>
      </c>
      <c r="U22">
        <v>0</v>
      </c>
      <c r="V22">
        <v>2858800</v>
      </c>
      <c r="W22" t="s">
        <v>481</v>
      </c>
      <c r="X22" t="s">
        <v>562</v>
      </c>
      <c r="Y22" t="s">
        <v>483</v>
      </c>
      <c r="Z22" t="s">
        <v>50</v>
      </c>
      <c r="AA22">
        <v>0</v>
      </c>
      <c r="AB22">
        <v>0</v>
      </c>
      <c r="AC22">
        <v>2948800</v>
      </c>
      <c r="AD22" t="s">
        <v>484</v>
      </c>
      <c r="AE22">
        <v>5</v>
      </c>
      <c r="AF22">
        <v>0</v>
      </c>
      <c r="AG22" t="s">
        <v>53</v>
      </c>
      <c r="AH22" t="s">
        <v>72</v>
      </c>
      <c r="AI22" t="s">
        <v>73</v>
      </c>
      <c r="AJ22" t="s">
        <v>74</v>
      </c>
      <c r="AK22" t="s">
        <v>485</v>
      </c>
      <c r="AL22">
        <v>3</v>
      </c>
      <c r="AM22">
        <v>0</v>
      </c>
      <c r="AN22" t="s">
        <v>50</v>
      </c>
      <c r="AO22" t="s">
        <v>483</v>
      </c>
      <c r="AP22" t="s">
        <v>481</v>
      </c>
      <c r="AR22" t="s">
        <v>562</v>
      </c>
      <c r="AS22">
        <v>2858800</v>
      </c>
      <c r="AT22" t="s">
        <v>83</v>
      </c>
      <c r="AU22">
        <v>2</v>
      </c>
    </row>
    <row r="23" spans="1:47" x14ac:dyDescent="0.3">
      <c r="A23" t="s">
        <v>563</v>
      </c>
      <c r="B23" t="s">
        <v>564</v>
      </c>
      <c r="C23" t="s">
        <v>489</v>
      </c>
      <c r="D23" t="s">
        <v>490</v>
      </c>
      <c r="E23" t="s">
        <v>80</v>
      </c>
      <c r="F23" t="s">
        <v>168</v>
      </c>
      <c r="G23">
        <v>1</v>
      </c>
      <c r="H23">
        <v>10</v>
      </c>
      <c r="I23" t="s">
        <v>47</v>
      </c>
      <c r="K23" t="s">
        <v>64</v>
      </c>
      <c r="L23" t="s">
        <v>81</v>
      </c>
      <c r="M23" t="s">
        <v>169</v>
      </c>
      <c r="N23">
        <v>3203600</v>
      </c>
      <c r="O23" t="s">
        <v>492</v>
      </c>
      <c r="Q23" t="s">
        <v>565</v>
      </c>
      <c r="R23" t="s">
        <v>483</v>
      </c>
      <c r="T23">
        <v>0</v>
      </c>
      <c r="U23">
        <v>0</v>
      </c>
      <c r="V23">
        <v>3203600</v>
      </c>
      <c r="W23" t="s">
        <v>492</v>
      </c>
      <c r="X23" t="s">
        <v>565</v>
      </c>
      <c r="Y23" t="s">
        <v>483</v>
      </c>
      <c r="Z23" t="s">
        <v>50</v>
      </c>
      <c r="AA23">
        <v>0</v>
      </c>
      <c r="AB23">
        <v>0</v>
      </c>
      <c r="AC23">
        <v>3304400</v>
      </c>
      <c r="AD23" t="s">
        <v>494</v>
      </c>
      <c r="AE23">
        <v>2</v>
      </c>
      <c r="AF23">
        <v>0</v>
      </c>
      <c r="AG23" t="s">
        <v>53</v>
      </c>
      <c r="AH23" t="s">
        <v>72</v>
      </c>
      <c r="AI23" t="s">
        <v>73</v>
      </c>
      <c r="AJ23" t="s">
        <v>74</v>
      </c>
      <c r="AK23" t="s">
        <v>485</v>
      </c>
      <c r="AL23">
        <v>0</v>
      </c>
      <c r="AM23">
        <v>0</v>
      </c>
      <c r="AN23" t="s">
        <v>50</v>
      </c>
      <c r="AO23" t="s">
        <v>483</v>
      </c>
      <c r="AP23" t="s">
        <v>492</v>
      </c>
      <c r="AR23" t="s">
        <v>565</v>
      </c>
      <c r="AS23">
        <v>3203600</v>
      </c>
      <c r="AT23" t="s">
        <v>83</v>
      </c>
      <c r="AU23">
        <v>2</v>
      </c>
    </row>
    <row r="24" spans="1:47" x14ac:dyDescent="0.3">
      <c r="A24" t="s">
        <v>566</v>
      </c>
      <c r="B24" t="s">
        <v>567</v>
      </c>
      <c r="C24" t="s">
        <v>489</v>
      </c>
      <c r="D24" t="s">
        <v>490</v>
      </c>
      <c r="E24" t="s">
        <v>221</v>
      </c>
      <c r="F24" t="s">
        <v>168</v>
      </c>
      <c r="G24">
        <v>1</v>
      </c>
      <c r="H24">
        <v>10</v>
      </c>
      <c r="I24" t="s">
        <v>47</v>
      </c>
      <c r="K24" t="s">
        <v>64</v>
      </c>
      <c r="L24" t="s">
        <v>48</v>
      </c>
      <c r="M24" t="s">
        <v>169</v>
      </c>
      <c r="N24">
        <v>3203600</v>
      </c>
      <c r="O24" t="s">
        <v>492</v>
      </c>
      <c r="Q24" t="s">
        <v>568</v>
      </c>
      <c r="R24" t="s">
        <v>483</v>
      </c>
      <c r="S24" t="s">
        <v>50</v>
      </c>
      <c r="T24">
        <v>0</v>
      </c>
      <c r="U24">
        <v>0</v>
      </c>
      <c r="V24">
        <v>3203600</v>
      </c>
      <c r="W24" t="s">
        <v>492</v>
      </c>
      <c r="X24" t="s">
        <v>568</v>
      </c>
      <c r="Y24" t="s">
        <v>483</v>
      </c>
      <c r="Z24" t="s">
        <v>50</v>
      </c>
      <c r="AA24">
        <v>0</v>
      </c>
      <c r="AB24">
        <v>0</v>
      </c>
      <c r="AC24">
        <v>3304400</v>
      </c>
      <c r="AD24" t="s">
        <v>494</v>
      </c>
      <c r="AE24">
        <v>2</v>
      </c>
      <c r="AF24">
        <v>0</v>
      </c>
      <c r="AG24" t="s">
        <v>53</v>
      </c>
      <c r="AH24" t="s">
        <v>72</v>
      </c>
      <c r="AI24" t="s">
        <v>73</v>
      </c>
      <c r="AJ24" t="s">
        <v>74</v>
      </c>
      <c r="AK24" t="s">
        <v>485</v>
      </c>
      <c r="AL24">
        <v>0</v>
      </c>
      <c r="AM24">
        <v>0</v>
      </c>
      <c r="AN24" t="s">
        <v>50</v>
      </c>
      <c r="AO24" t="s">
        <v>483</v>
      </c>
      <c r="AP24" t="s">
        <v>492</v>
      </c>
      <c r="AQ24" t="s">
        <v>486</v>
      </c>
      <c r="AR24" t="s">
        <v>568</v>
      </c>
      <c r="AS24">
        <v>3203600</v>
      </c>
      <c r="AT24" t="s">
        <v>983</v>
      </c>
      <c r="AU24">
        <v>2</v>
      </c>
    </row>
    <row r="25" spans="1:47" x14ac:dyDescent="0.3">
      <c r="A25" t="s">
        <v>569</v>
      </c>
      <c r="B25" t="s">
        <v>570</v>
      </c>
      <c r="C25" t="s">
        <v>516</v>
      </c>
      <c r="D25" t="s">
        <v>517</v>
      </c>
      <c r="E25" t="s">
        <v>62</v>
      </c>
      <c r="F25" t="s">
        <v>168</v>
      </c>
      <c r="G25">
        <v>1</v>
      </c>
      <c r="H25">
        <v>10</v>
      </c>
      <c r="I25" t="s">
        <v>47</v>
      </c>
      <c r="K25" t="s">
        <v>64</v>
      </c>
      <c r="L25" t="s">
        <v>48</v>
      </c>
      <c r="M25" t="s">
        <v>169</v>
      </c>
      <c r="N25">
        <v>3480300</v>
      </c>
      <c r="O25" t="s">
        <v>518</v>
      </c>
      <c r="Q25" t="s">
        <v>571</v>
      </c>
      <c r="R25" t="s">
        <v>483</v>
      </c>
      <c r="T25">
        <v>0</v>
      </c>
      <c r="U25">
        <v>0</v>
      </c>
      <c r="V25">
        <v>3480300</v>
      </c>
      <c r="W25" t="s">
        <v>518</v>
      </c>
      <c r="X25" t="s">
        <v>571</v>
      </c>
      <c r="Y25" t="s">
        <v>483</v>
      </c>
      <c r="Z25" t="s">
        <v>50</v>
      </c>
      <c r="AA25">
        <v>0</v>
      </c>
      <c r="AB25">
        <v>0</v>
      </c>
      <c r="AC25">
        <v>3589900</v>
      </c>
      <c r="AD25" t="s">
        <v>520</v>
      </c>
      <c r="AE25">
        <v>2</v>
      </c>
      <c r="AF25">
        <v>0</v>
      </c>
      <c r="AG25" t="s">
        <v>53</v>
      </c>
      <c r="AH25" t="s">
        <v>72</v>
      </c>
      <c r="AI25" t="s">
        <v>73</v>
      </c>
      <c r="AJ25" t="s">
        <v>74</v>
      </c>
      <c r="AK25" t="s">
        <v>485</v>
      </c>
      <c r="AL25">
        <v>0</v>
      </c>
      <c r="AM25">
        <v>0</v>
      </c>
      <c r="AN25" t="s">
        <v>50</v>
      </c>
      <c r="AO25" t="s">
        <v>483</v>
      </c>
      <c r="AP25" t="s">
        <v>518</v>
      </c>
      <c r="AR25" t="s">
        <v>571</v>
      </c>
      <c r="AS25">
        <v>3480300</v>
      </c>
      <c r="AT25" t="s">
        <v>83</v>
      </c>
      <c r="AU25">
        <v>2</v>
      </c>
    </row>
    <row r="26" spans="1:47" x14ac:dyDescent="0.3">
      <c r="A26" t="s">
        <v>572</v>
      </c>
      <c r="B26" t="s">
        <v>573</v>
      </c>
      <c r="C26" t="s">
        <v>489</v>
      </c>
      <c r="D26" t="s">
        <v>490</v>
      </c>
      <c r="E26" t="s">
        <v>80</v>
      </c>
      <c r="F26" t="s">
        <v>168</v>
      </c>
      <c r="G26">
        <v>1</v>
      </c>
      <c r="H26">
        <v>10</v>
      </c>
      <c r="I26" t="s">
        <v>47</v>
      </c>
      <c r="K26" t="s">
        <v>64</v>
      </c>
      <c r="L26" t="s">
        <v>81</v>
      </c>
      <c r="M26" t="s">
        <v>169</v>
      </c>
      <c r="N26">
        <v>3203600</v>
      </c>
      <c r="O26" t="s">
        <v>492</v>
      </c>
      <c r="Q26" t="s">
        <v>574</v>
      </c>
      <c r="R26" t="s">
        <v>483</v>
      </c>
      <c r="T26">
        <v>0</v>
      </c>
      <c r="U26">
        <v>0</v>
      </c>
      <c r="V26">
        <v>3203600</v>
      </c>
      <c r="W26" t="s">
        <v>492</v>
      </c>
      <c r="X26" t="s">
        <v>574</v>
      </c>
      <c r="Y26" t="s">
        <v>483</v>
      </c>
      <c r="Z26" t="s">
        <v>50</v>
      </c>
      <c r="AA26">
        <v>0</v>
      </c>
      <c r="AB26">
        <v>0</v>
      </c>
      <c r="AC26">
        <v>3304400</v>
      </c>
      <c r="AD26" t="s">
        <v>494</v>
      </c>
      <c r="AE26">
        <v>2</v>
      </c>
      <c r="AF26">
        <v>0</v>
      </c>
      <c r="AG26" t="s">
        <v>53</v>
      </c>
      <c r="AH26" t="s">
        <v>72</v>
      </c>
      <c r="AI26" t="s">
        <v>73</v>
      </c>
      <c r="AJ26" t="s">
        <v>74</v>
      </c>
      <c r="AK26" t="s">
        <v>485</v>
      </c>
      <c r="AL26">
        <v>0</v>
      </c>
      <c r="AM26">
        <v>0</v>
      </c>
      <c r="AN26" t="s">
        <v>50</v>
      </c>
      <c r="AO26" t="s">
        <v>483</v>
      </c>
      <c r="AP26" t="s">
        <v>492</v>
      </c>
      <c r="AR26" t="s">
        <v>574</v>
      </c>
      <c r="AS26">
        <v>3203600</v>
      </c>
      <c r="AT26" t="s">
        <v>83</v>
      </c>
      <c r="AU26">
        <v>2</v>
      </c>
    </row>
    <row r="27" spans="1:47" x14ac:dyDescent="0.3">
      <c r="A27" t="s">
        <v>575</v>
      </c>
      <c r="B27" t="s">
        <v>576</v>
      </c>
      <c r="C27" t="s">
        <v>489</v>
      </c>
      <c r="D27" t="s">
        <v>490</v>
      </c>
      <c r="E27" t="s">
        <v>221</v>
      </c>
      <c r="F27" t="s">
        <v>168</v>
      </c>
      <c r="G27">
        <v>1</v>
      </c>
      <c r="H27">
        <v>10</v>
      </c>
      <c r="I27" t="s">
        <v>47</v>
      </c>
      <c r="K27" t="s">
        <v>64</v>
      </c>
      <c r="L27" t="s">
        <v>48</v>
      </c>
      <c r="M27" t="s">
        <v>169</v>
      </c>
      <c r="N27">
        <v>3203600</v>
      </c>
      <c r="O27" t="s">
        <v>492</v>
      </c>
      <c r="Q27" t="s">
        <v>577</v>
      </c>
      <c r="R27" t="s">
        <v>483</v>
      </c>
      <c r="S27" t="s">
        <v>50</v>
      </c>
      <c r="T27">
        <v>0</v>
      </c>
      <c r="U27">
        <v>0</v>
      </c>
      <c r="V27">
        <v>3203600</v>
      </c>
      <c r="W27" t="s">
        <v>492</v>
      </c>
      <c r="X27" t="s">
        <v>577</v>
      </c>
      <c r="Y27" t="s">
        <v>483</v>
      </c>
      <c r="Z27" t="s">
        <v>50</v>
      </c>
      <c r="AA27">
        <v>0</v>
      </c>
      <c r="AB27">
        <v>0</v>
      </c>
      <c r="AC27">
        <v>3304400</v>
      </c>
      <c r="AD27" t="s">
        <v>494</v>
      </c>
      <c r="AE27">
        <v>2</v>
      </c>
      <c r="AF27">
        <v>0</v>
      </c>
      <c r="AG27" t="s">
        <v>53</v>
      </c>
      <c r="AH27" t="s">
        <v>72</v>
      </c>
      <c r="AI27" t="s">
        <v>73</v>
      </c>
      <c r="AJ27" t="s">
        <v>74</v>
      </c>
      <c r="AK27" t="s">
        <v>485</v>
      </c>
      <c r="AL27">
        <v>0</v>
      </c>
      <c r="AM27">
        <v>0</v>
      </c>
      <c r="AN27" t="s">
        <v>50</v>
      </c>
      <c r="AO27" t="s">
        <v>483</v>
      </c>
      <c r="AP27" t="s">
        <v>492</v>
      </c>
      <c r="AQ27" t="s">
        <v>486</v>
      </c>
      <c r="AR27" t="s">
        <v>577</v>
      </c>
      <c r="AS27">
        <v>3203600</v>
      </c>
      <c r="AT27" t="s">
        <v>983</v>
      </c>
      <c r="AU27">
        <v>2</v>
      </c>
    </row>
    <row r="28" spans="1:47" x14ac:dyDescent="0.3">
      <c r="A28" t="s">
        <v>578</v>
      </c>
      <c r="B28" t="s">
        <v>579</v>
      </c>
      <c r="C28" t="s">
        <v>489</v>
      </c>
      <c r="D28" t="s">
        <v>490</v>
      </c>
      <c r="E28" t="s">
        <v>80</v>
      </c>
      <c r="F28" t="s">
        <v>187</v>
      </c>
      <c r="G28">
        <v>1</v>
      </c>
      <c r="H28">
        <v>10</v>
      </c>
      <c r="I28" t="s">
        <v>47</v>
      </c>
      <c r="K28" t="s">
        <v>64</v>
      </c>
      <c r="L28" t="s">
        <v>48</v>
      </c>
      <c r="M28" t="s">
        <v>188</v>
      </c>
      <c r="N28">
        <v>3203600</v>
      </c>
      <c r="O28" t="s">
        <v>492</v>
      </c>
      <c r="Q28" t="s">
        <v>580</v>
      </c>
      <c r="R28" t="s">
        <v>483</v>
      </c>
      <c r="S28" t="s">
        <v>50</v>
      </c>
      <c r="T28">
        <v>0</v>
      </c>
      <c r="U28">
        <v>0</v>
      </c>
      <c r="V28">
        <v>3203600</v>
      </c>
      <c r="W28" t="s">
        <v>492</v>
      </c>
      <c r="X28" t="s">
        <v>580</v>
      </c>
      <c r="Y28" t="s">
        <v>483</v>
      </c>
      <c r="Z28" t="s">
        <v>50</v>
      </c>
      <c r="AA28">
        <v>0</v>
      </c>
      <c r="AB28">
        <v>0</v>
      </c>
      <c r="AC28">
        <v>3304400</v>
      </c>
      <c r="AD28" t="s">
        <v>494</v>
      </c>
      <c r="AE28">
        <v>2</v>
      </c>
      <c r="AF28">
        <v>0</v>
      </c>
      <c r="AG28" t="s">
        <v>53</v>
      </c>
      <c r="AH28" t="s">
        <v>72</v>
      </c>
      <c r="AI28" t="s">
        <v>73</v>
      </c>
      <c r="AJ28" t="s">
        <v>74</v>
      </c>
      <c r="AK28" t="s">
        <v>485</v>
      </c>
      <c r="AL28">
        <v>0</v>
      </c>
      <c r="AM28">
        <v>0</v>
      </c>
      <c r="AN28" t="s">
        <v>50</v>
      </c>
      <c r="AO28" t="s">
        <v>483</v>
      </c>
      <c r="AP28" t="s">
        <v>492</v>
      </c>
      <c r="AQ28" t="s">
        <v>486</v>
      </c>
      <c r="AR28" t="s">
        <v>580</v>
      </c>
      <c r="AS28">
        <v>3203600</v>
      </c>
      <c r="AT28" t="s">
        <v>83</v>
      </c>
      <c r="AU28">
        <v>2</v>
      </c>
    </row>
    <row r="29" spans="1:47" x14ac:dyDescent="0.3">
      <c r="A29" t="s">
        <v>581</v>
      </c>
      <c r="B29" t="s">
        <v>582</v>
      </c>
      <c r="C29" t="s">
        <v>489</v>
      </c>
      <c r="D29" t="s">
        <v>490</v>
      </c>
      <c r="E29" t="s">
        <v>80</v>
      </c>
      <c r="F29" t="s">
        <v>187</v>
      </c>
      <c r="G29">
        <v>1</v>
      </c>
      <c r="H29">
        <v>10</v>
      </c>
      <c r="I29" t="s">
        <v>47</v>
      </c>
      <c r="K29" t="s">
        <v>64</v>
      </c>
      <c r="L29" t="s">
        <v>48</v>
      </c>
      <c r="M29" t="s">
        <v>188</v>
      </c>
      <c r="N29">
        <v>3203600</v>
      </c>
      <c r="O29" t="s">
        <v>492</v>
      </c>
      <c r="Q29" t="s">
        <v>583</v>
      </c>
      <c r="R29" t="s">
        <v>483</v>
      </c>
      <c r="S29" t="s">
        <v>50</v>
      </c>
      <c r="T29">
        <v>0</v>
      </c>
      <c r="U29">
        <v>0</v>
      </c>
      <c r="V29">
        <v>3203600</v>
      </c>
      <c r="W29" t="s">
        <v>492</v>
      </c>
      <c r="X29" t="s">
        <v>583</v>
      </c>
      <c r="Y29" t="s">
        <v>483</v>
      </c>
      <c r="Z29" t="s">
        <v>50</v>
      </c>
      <c r="AA29">
        <v>0</v>
      </c>
      <c r="AB29">
        <v>0</v>
      </c>
      <c r="AC29">
        <v>3304400</v>
      </c>
      <c r="AD29" t="s">
        <v>494</v>
      </c>
      <c r="AE29">
        <v>2</v>
      </c>
      <c r="AF29">
        <v>0</v>
      </c>
      <c r="AG29" t="s">
        <v>53</v>
      </c>
      <c r="AH29" t="s">
        <v>72</v>
      </c>
      <c r="AI29" t="s">
        <v>73</v>
      </c>
      <c r="AJ29" t="s">
        <v>74</v>
      </c>
      <c r="AK29" t="s">
        <v>485</v>
      </c>
      <c r="AL29">
        <v>0</v>
      </c>
      <c r="AM29">
        <v>0</v>
      </c>
      <c r="AN29" t="s">
        <v>50</v>
      </c>
      <c r="AO29" t="s">
        <v>483</v>
      </c>
      <c r="AP29" t="s">
        <v>492</v>
      </c>
      <c r="AQ29" t="s">
        <v>486</v>
      </c>
      <c r="AR29" t="s">
        <v>583</v>
      </c>
      <c r="AS29">
        <v>3203600</v>
      </c>
      <c r="AT29" t="s">
        <v>83</v>
      </c>
      <c r="AU29">
        <v>2</v>
      </c>
    </row>
    <row r="30" spans="1:47" x14ac:dyDescent="0.3">
      <c r="A30" t="s">
        <v>584</v>
      </c>
      <c r="B30" t="s">
        <v>585</v>
      </c>
      <c r="C30" t="s">
        <v>516</v>
      </c>
      <c r="D30" t="s">
        <v>517</v>
      </c>
      <c r="E30" t="s">
        <v>586</v>
      </c>
      <c r="F30" t="s">
        <v>187</v>
      </c>
      <c r="G30">
        <v>1</v>
      </c>
      <c r="H30">
        <v>10</v>
      </c>
      <c r="I30" t="s">
        <v>47</v>
      </c>
      <c r="K30" t="s">
        <v>64</v>
      </c>
      <c r="L30" t="s">
        <v>48</v>
      </c>
      <c r="M30" t="s">
        <v>188</v>
      </c>
      <c r="N30">
        <v>3480300</v>
      </c>
      <c r="O30" t="s">
        <v>518</v>
      </c>
      <c r="Q30" t="s">
        <v>587</v>
      </c>
      <c r="R30" t="s">
        <v>483</v>
      </c>
      <c r="T30">
        <v>0</v>
      </c>
      <c r="U30">
        <v>0</v>
      </c>
      <c r="V30">
        <v>3480300</v>
      </c>
      <c r="W30" t="s">
        <v>518</v>
      </c>
      <c r="X30" t="s">
        <v>587</v>
      </c>
      <c r="Y30" t="s">
        <v>483</v>
      </c>
      <c r="Z30" t="s">
        <v>50</v>
      </c>
      <c r="AA30">
        <v>0</v>
      </c>
      <c r="AB30">
        <v>0</v>
      </c>
      <c r="AC30">
        <v>3589900</v>
      </c>
      <c r="AD30" t="s">
        <v>520</v>
      </c>
      <c r="AE30">
        <v>2</v>
      </c>
      <c r="AF30">
        <v>0</v>
      </c>
      <c r="AG30" t="s">
        <v>53</v>
      </c>
      <c r="AH30" t="s">
        <v>72</v>
      </c>
      <c r="AI30" t="s">
        <v>73</v>
      </c>
      <c r="AJ30" t="s">
        <v>74</v>
      </c>
      <c r="AK30" t="s">
        <v>485</v>
      </c>
      <c r="AL30">
        <v>0</v>
      </c>
      <c r="AM30">
        <v>0</v>
      </c>
      <c r="AN30" t="s">
        <v>50</v>
      </c>
      <c r="AO30" t="s">
        <v>483</v>
      </c>
      <c r="AP30" t="s">
        <v>518</v>
      </c>
      <c r="AR30" t="s">
        <v>587</v>
      </c>
      <c r="AS30">
        <v>3480300</v>
      </c>
      <c r="AT30" t="s">
        <v>83</v>
      </c>
      <c r="AU30">
        <v>2</v>
      </c>
    </row>
    <row r="31" spans="1:47" x14ac:dyDescent="0.3">
      <c r="A31" t="s">
        <v>588</v>
      </c>
      <c r="B31" t="s">
        <v>589</v>
      </c>
      <c r="C31" t="s">
        <v>489</v>
      </c>
      <c r="D31" t="s">
        <v>490</v>
      </c>
      <c r="E31" t="s">
        <v>80</v>
      </c>
      <c r="F31" t="s">
        <v>187</v>
      </c>
      <c r="G31">
        <v>1</v>
      </c>
      <c r="H31">
        <v>10</v>
      </c>
      <c r="I31" t="s">
        <v>47</v>
      </c>
      <c r="K31" t="s">
        <v>64</v>
      </c>
      <c r="L31" t="s">
        <v>48</v>
      </c>
      <c r="M31" t="s">
        <v>188</v>
      </c>
      <c r="N31">
        <v>3203600</v>
      </c>
      <c r="O31" t="s">
        <v>492</v>
      </c>
      <c r="Q31" t="s">
        <v>590</v>
      </c>
      <c r="R31" t="s">
        <v>483</v>
      </c>
      <c r="S31" t="s">
        <v>50</v>
      </c>
      <c r="T31">
        <v>0</v>
      </c>
      <c r="U31">
        <v>0</v>
      </c>
      <c r="V31">
        <v>3203600</v>
      </c>
      <c r="W31" t="s">
        <v>492</v>
      </c>
      <c r="X31" t="s">
        <v>590</v>
      </c>
      <c r="Y31" t="s">
        <v>483</v>
      </c>
      <c r="Z31" t="s">
        <v>50</v>
      </c>
      <c r="AA31">
        <v>0</v>
      </c>
      <c r="AB31">
        <v>0</v>
      </c>
      <c r="AC31">
        <v>3304400</v>
      </c>
      <c r="AD31" t="s">
        <v>494</v>
      </c>
      <c r="AE31">
        <v>2</v>
      </c>
      <c r="AF31">
        <v>0</v>
      </c>
      <c r="AG31" t="s">
        <v>53</v>
      </c>
      <c r="AH31" t="s">
        <v>72</v>
      </c>
      <c r="AI31" t="s">
        <v>73</v>
      </c>
      <c r="AJ31" t="s">
        <v>74</v>
      </c>
      <c r="AK31" t="s">
        <v>485</v>
      </c>
      <c r="AL31">
        <v>0</v>
      </c>
      <c r="AM31">
        <v>0</v>
      </c>
      <c r="AN31" t="s">
        <v>50</v>
      </c>
      <c r="AO31" t="s">
        <v>483</v>
      </c>
      <c r="AP31" t="s">
        <v>492</v>
      </c>
      <c r="AQ31" t="s">
        <v>486</v>
      </c>
      <c r="AR31" t="s">
        <v>590</v>
      </c>
      <c r="AS31">
        <v>3203600</v>
      </c>
      <c r="AT31" t="s">
        <v>83</v>
      </c>
      <c r="AU31">
        <v>2</v>
      </c>
    </row>
    <row r="32" spans="1:47" x14ac:dyDescent="0.3">
      <c r="A32" t="s">
        <v>591</v>
      </c>
      <c r="B32" t="s">
        <v>592</v>
      </c>
      <c r="C32" t="s">
        <v>516</v>
      </c>
      <c r="D32" t="s">
        <v>517</v>
      </c>
      <c r="E32" t="s">
        <v>62</v>
      </c>
      <c r="F32" t="s">
        <v>187</v>
      </c>
      <c r="G32">
        <v>1</v>
      </c>
      <c r="H32">
        <v>10</v>
      </c>
      <c r="I32" t="s">
        <v>47</v>
      </c>
      <c r="K32" t="s">
        <v>64</v>
      </c>
      <c r="L32" t="s">
        <v>48</v>
      </c>
      <c r="M32" t="s">
        <v>188</v>
      </c>
      <c r="N32">
        <v>3480300</v>
      </c>
      <c r="O32" t="s">
        <v>518</v>
      </c>
      <c r="Q32" t="s">
        <v>593</v>
      </c>
      <c r="R32" t="s">
        <v>483</v>
      </c>
      <c r="S32" t="s">
        <v>50</v>
      </c>
      <c r="T32">
        <v>0</v>
      </c>
      <c r="U32">
        <v>0</v>
      </c>
      <c r="V32">
        <v>3480300</v>
      </c>
      <c r="W32" t="s">
        <v>518</v>
      </c>
      <c r="X32" t="s">
        <v>593</v>
      </c>
      <c r="Y32" t="s">
        <v>483</v>
      </c>
      <c r="Z32" t="s">
        <v>50</v>
      </c>
      <c r="AA32">
        <v>0</v>
      </c>
      <c r="AB32">
        <v>0</v>
      </c>
      <c r="AC32">
        <v>3589900</v>
      </c>
      <c r="AD32" t="s">
        <v>520</v>
      </c>
      <c r="AE32">
        <v>2</v>
      </c>
      <c r="AF32">
        <v>0</v>
      </c>
      <c r="AG32" t="s">
        <v>53</v>
      </c>
      <c r="AH32" t="s">
        <v>72</v>
      </c>
      <c r="AI32" t="s">
        <v>73</v>
      </c>
      <c r="AJ32" t="s">
        <v>74</v>
      </c>
      <c r="AK32" t="s">
        <v>485</v>
      </c>
      <c r="AL32">
        <v>0</v>
      </c>
      <c r="AM32">
        <v>0</v>
      </c>
      <c r="AN32" t="s">
        <v>50</v>
      </c>
      <c r="AO32" t="s">
        <v>483</v>
      </c>
      <c r="AP32" t="s">
        <v>518</v>
      </c>
      <c r="AQ32" t="s">
        <v>486</v>
      </c>
      <c r="AR32" t="s">
        <v>593</v>
      </c>
      <c r="AS32">
        <v>3480300</v>
      </c>
      <c r="AT32" t="s">
        <v>83</v>
      </c>
      <c r="AU32">
        <v>2</v>
      </c>
    </row>
    <row r="33" spans="1:47" x14ac:dyDescent="0.3">
      <c r="A33" t="s">
        <v>594</v>
      </c>
      <c r="B33" t="s">
        <v>595</v>
      </c>
      <c r="C33" t="s">
        <v>516</v>
      </c>
      <c r="D33" t="s">
        <v>517</v>
      </c>
      <c r="E33" t="s">
        <v>62</v>
      </c>
      <c r="F33" t="s">
        <v>187</v>
      </c>
      <c r="G33">
        <v>1</v>
      </c>
      <c r="H33">
        <v>10</v>
      </c>
      <c r="I33" t="s">
        <v>47</v>
      </c>
      <c r="K33" t="s">
        <v>64</v>
      </c>
      <c r="L33" t="s">
        <v>48</v>
      </c>
      <c r="M33" t="s">
        <v>188</v>
      </c>
      <c r="N33">
        <v>3480300</v>
      </c>
      <c r="O33" t="s">
        <v>518</v>
      </c>
      <c r="Q33" t="s">
        <v>596</v>
      </c>
      <c r="R33" t="s">
        <v>483</v>
      </c>
      <c r="S33" t="s">
        <v>50</v>
      </c>
      <c r="T33">
        <v>0</v>
      </c>
      <c r="U33">
        <v>0</v>
      </c>
      <c r="V33">
        <v>3480300</v>
      </c>
      <c r="W33" t="s">
        <v>518</v>
      </c>
      <c r="X33" t="s">
        <v>596</v>
      </c>
      <c r="Y33" t="s">
        <v>483</v>
      </c>
      <c r="Z33" t="s">
        <v>50</v>
      </c>
      <c r="AA33">
        <v>0</v>
      </c>
      <c r="AB33">
        <v>0</v>
      </c>
      <c r="AC33">
        <v>3589900</v>
      </c>
      <c r="AD33" t="s">
        <v>520</v>
      </c>
      <c r="AE33">
        <v>2</v>
      </c>
      <c r="AF33">
        <v>0</v>
      </c>
      <c r="AG33" t="s">
        <v>53</v>
      </c>
      <c r="AH33" t="s">
        <v>72</v>
      </c>
      <c r="AI33" t="s">
        <v>73</v>
      </c>
      <c r="AJ33" t="s">
        <v>74</v>
      </c>
      <c r="AK33" t="s">
        <v>485</v>
      </c>
      <c r="AL33">
        <v>0</v>
      </c>
      <c r="AM33">
        <v>0</v>
      </c>
      <c r="AN33" t="s">
        <v>50</v>
      </c>
      <c r="AO33" t="s">
        <v>483</v>
      </c>
      <c r="AP33" t="s">
        <v>518</v>
      </c>
      <c r="AQ33" t="s">
        <v>486</v>
      </c>
      <c r="AR33" t="s">
        <v>596</v>
      </c>
      <c r="AS33">
        <v>3480300</v>
      </c>
      <c r="AT33" t="s">
        <v>83</v>
      </c>
      <c r="AU33">
        <v>2</v>
      </c>
    </row>
    <row r="34" spans="1:47" x14ac:dyDescent="0.3">
      <c r="A34" t="s">
        <v>597</v>
      </c>
      <c r="B34" t="s">
        <v>598</v>
      </c>
      <c r="C34" t="s">
        <v>489</v>
      </c>
      <c r="D34" t="s">
        <v>490</v>
      </c>
      <c r="E34" t="s">
        <v>93</v>
      </c>
      <c r="F34" t="s">
        <v>211</v>
      </c>
      <c r="G34">
        <v>1</v>
      </c>
      <c r="H34">
        <v>10</v>
      </c>
      <c r="I34" t="s">
        <v>47</v>
      </c>
      <c r="K34" t="s">
        <v>64</v>
      </c>
      <c r="L34" t="s">
        <v>48</v>
      </c>
      <c r="M34" t="s">
        <v>212</v>
      </c>
      <c r="N34">
        <v>3203600</v>
      </c>
      <c r="O34" t="s">
        <v>492</v>
      </c>
      <c r="Q34" t="s">
        <v>599</v>
      </c>
      <c r="R34" t="s">
        <v>483</v>
      </c>
      <c r="T34">
        <v>0</v>
      </c>
      <c r="U34">
        <v>0</v>
      </c>
      <c r="V34">
        <v>3203600</v>
      </c>
      <c r="W34" t="s">
        <v>492</v>
      </c>
      <c r="X34" t="s">
        <v>599</v>
      </c>
      <c r="Y34" t="s">
        <v>483</v>
      </c>
      <c r="Z34" t="s">
        <v>50</v>
      </c>
      <c r="AA34">
        <v>0</v>
      </c>
      <c r="AB34">
        <v>0</v>
      </c>
      <c r="AC34">
        <v>3304400</v>
      </c>
      <c r="AD34" t="s">
        <v>494</v>
      </c>
      <c r="AE34">
        <v>2</v>
      </c>
      <c r="AF34">
        <v>0</v>
      </c>
      <c r="AG34" t="s">
        <v>53</v>
      </c>
      <c r="AH34" t="s">
        <v>72</v>
      </c>
      <c r="AI34" t="s">
        <v>73</v>
      </c>
      <c r="AJ34" t="s">
        <v>74</v>
      </c>
      <c r="AK34" t="s">
        <v>485</v>
      </c>
      <c r="AL34">
        <v>0</v>
      </c>
      <c r="AM34">
        <v>0</v>
      </c>
      <c r="AN34" t="s">
        <v>50</v>
      </c>
      <c r="AO34" t="s">
        <v>483</v>
      </c>
      <c r="AP34" t="s">
        <v>492</v>
      </c>
      <c r="AR34" t="s">
        <v>599</v>
      </c>
      <c r="AS34">
        <v>3203600</v>
      </c>
      <c r="AT34" t="s">
        <v>982</v>
      </c>
      <c r="AU34">
        <v>2</v>
      </c>
    </row>
    <row r="35" spans="1:47" x14ac:dyDescent="0.3">
      <c r="A35" t="s">
        <v>600</v>
      </c>
      <c r="B35" t="s">
        <v>601</v>
      </c>
      <c r="C35" t="s">
        <v>489</v>
      </c>
      <c r="D35" t="s">
        <v>490</v>
      </c>
      <c r="E35" t="s">
        <v>80</v>
      </c>
      <c r="F35" t="s">
        <v>211</v>
      </c>
      <c r="G35">
        <v>1</v>
      </c>
      <c r="H35">
        <v>10</v>
      </c>
      <c r="I35" t="s">
        <v>47</v>
      </c>
      <c r="K35" t="s">
        <v>64</v>
      </c>
      <c r="L35" t="s">
        <v>48</v>
      </c>
      <c r="M35" t="s">
        <v>212</v>
      </c>
      <c r="N35">
        <v>3203600</v>
      </c>
      <c r="O35" t="s">
        <v>492</v>
      </c>
      <c r="Q35" t="s">
        <v>602</v>
      </c>
      <c r="R35" t="s">
        <v>483</v>
      </c>
      <c r="S35" t="s">
        <v>50</v>
      </c>
      <c r="T35">
        <v>0</v>
      </c>
      <c r="U35">
        <v>0</v>
      </c>
      <c r="V35">
        <v>3203600</v>
      </c>
      <c r="W35" t="s">
        <v>492</v>
      </c>
      <c r="X35" t="s">
        <v>602</v>
      </c>
      <c r="Y35" t="s">
        <v>483</v>
      </c>
      <c r="Z35" t="s">
        <v>50</v>
      </c>
      <c r="AA35">
        <v>0</v>
      </c>
      <c r="AB35">
        <v>0</v>
      </c>
      <c r="AC35">
        <v>3304400</v>
      </c>
      <c r="AD35" t="s">
        <v>494</v>
      </c>
      <c r="AE35">
        <v>2</v>
      </c>
      <c r="AF35">
        <v>0</v>
      </c>
      <c r="AG35" t="s">
        <v>53</v>
      </c>
      <c r="AH35" t="s">
        <v>72</v>
      </c>
      <c r="AI35" t="s">
        <v>73</v>
      </c>
      <c r="AJ35" t="s">
        <v>74</v>
      </c>
      <c r="AK35" t="s">
        <v>485</v>
      </c>
      <c r="AL35">
        <v>0</v>
      </c>
      <c r="AM35">
        <v>0</v>
      </c>
      <c r="AN35" t="s">
        <v>50</v>
      </c>
      <c r="AO35" t="s">
        <v>483</v>
      </c>
      <c r="AP35" t="s">
        <v>492</v>
      </c>
      <c r="AQ35" t="s">
        <v>486</v>
      </c>
      <c r="AR35" t="s">
        <v>602</v>
      </c>
      <c r="AS35">
        <v>3203600</v>
      </c>
      <c r="AT35" t="s">
        <v>83</v>
      </c>
      <c r="AU35">
        <v>2</v>
      </c>
    </row>
    <row r="36" spans="1:47" x14ac:dyDescent="0.3">
      <c r="A36" t="s">
        <v>603</v>
      </c>
      <c r="B36" t="s">
        <v>604</v>
      </c>
      <c r="C36" t="s">
        <v>477</v>
      </c>
      <c r="D36" t="s">
        <v>478</v>
      </c>
      <c r="E36" t="s">
        <v>558</v>
      </c>
      <c r="F36" t="s">
        <v>222</v>
      </c>
      <c r="G36">
        <v>1</v>
      </c>
      <c r="H36">
        <v>10</v>
      </c>
      <c r="I36" t="s">
        <v>47</v>
      </c>
      <c r="K36" t="s">
        <v>64</v>
      </c>
      <c r="L36" t="s">
        <v>48</v>
      </c>
      <c r="M36" t="s">
        <v>223</v>
      </c>
      <c r="N36">
        <v>2858800</v>
      </c>
      <c r="O36" t="s">
        <v>481</v>
      </c>
      <c r="Q36" t="s">
        <v>605</v>
      </c>
      <c r="R36" t="s">
        <v>483</v>
      </c>
      <c r="T36">
        <v>0</v>
      </c>
      <c r="U36">
        <v>0</v>
      </c>
      <c r="V36">
        <v>2858800</v>
      </c>
      <c r="W36" t="s">
        <v>481</v>
      </c>
      <c r="X36" t="s">
        <v>605</v>
      </c>
      <c r="Y36" t="s">
        <v>483</v>
      </c>
      <c r="Z36" t="s">
        <v>50</v>
      </c>
      <c r="AA36">
        <v>0</v>
      </c>
      <c r="AB36">
        <v>0</v>
      </c>
      <c r="AC36">
        <v>2948800</v>
      </c>
      <c r="AD36" t="s">
        <v>484</v>
      </c>
      <c r="AE36">
        <v>5</v>
      </c>
      <c r="AF36">
        <v>0</v>
      </c>
      <c r="AG36" t="s">
        <v>53</v>
      </c>
      <c r="AH36" t="s">
        <v>72</v>
      </c>
      <c r="AI36" t="s">
        <v>73</v>
      </c>
      <c r="AJ36" t="s">
        <v>74</v>
      </c>
      <c r="AK36" t="s">
        <v>485</v>
      </c>
      <c r="AL36">
        <v>3</v>
      </c>
      <c r="AM36">
        <v>0</v>
      </c>
      <c r="AN36" t="s">
        <v>50</v>
      </c>
      <c r="AO36" t="s">
        <v>483</v>
      </c>
      <c r="AP36" t="s">
        <v>481</v>
      </c>
      <c r="AR36" t="s">
        <v>605</v>
      </c>
      <c r="AS36">
        <v>2858800</v>
      </c>
      <c r="AT36" t="s">
        <v>83</v>
      </c>
      <c r="AU36">
        <v>2</v>
      </c>
    </row>
    <row r="37" spans="1:47" x14ac:dyDescent="0.3">
      <c r="A37" t="s">
        <v>606</v>
      </c>
      <c r="B37" t="s">
        <v>607</v>
      </c>
      <c r="C37" t="s">
        <v>477</v>
      </c>
      <c r="D37" t="s">
        <v>478</v>
      </c>
      <c r="E37" t="s">
        <v>558</v>
      </c>
      <c r="F37" t="s">
        <v>222</v>
      </c>
      <c r="G37">
        <v>1</v>
      </c>
      <c r="H37">
        <v>10</v>
      </c>
      <c r="I37" t="s">
        <v>47</v>
      </c>
      <c r="K37" t="s">
        <v>64</v>
      </c>
      <c r="L37" t="s">
        <v>48</v>
      </c>
      <c r="M37" t="s">
        <v>223</v>
      </c>
      <c r="N37">
        <v>2858800</v>
      </c>
      <c r="O37" t="s">
        <v>481</v>
      </c>
      <c r="Q37" t="s">
        <v>608</v>
      </c>
      <c r="R37" t="s">
        <v>483</v>
      </c>
      <c r="T37">
        <v>0</v>
      </c>
      <c r="U37">
        <v>0</v>
      </c>
      <c r="V37">
        <v>2858800</v>
      </c>
      <c r="W37" t="s">
        <v>481</v>
      </c>
      <c r="X37" t="s">
        <v>608</v>
      </c>
      <c r="Y37" t="s">
        <v>483</v>
      </c>
      <c r="Z37" t="s">
        <v>50</v>
      </c>
      <c r="AA37">
        <v>0</v>
      </c>
      <c r="AB37">
        <v>0</v>
      </c>
      <c r="AC37">
        <v>2948800</v>
      </c>
      <c r="AD37" t="s">
        <v>484</v>
      </c>
      <c r="AE37">
        <v>5</v>
      </c>
      <c r="AF37">
        <v>0</v>
      </c>
      <c r="AG37" t="s">
        <v>53</v>
      </c>
      <c r="AH37" t="s">
        <v>72</v>
      </c>
      <c r="AI37" t="s">
        <v>73</v>
      </c>
      <c r="AJ37" t="s">
        <v>74</v>
      </c>
      <c r="AK37" t="s">
        <v>485</v>
      </c>
      <c r="AL37">
        <v>3</v>
      </c>
      <c r="AM37">
        <v>0</v>
      </c>
      <c r="AN37" t="s">
        <v>50</v>
      </c>
      <c r="AO37" t="s">
        <v>483</v>
      </c>
      <c r="AP37" t="s">
        <v>481</v>
      </c>
      <c r="AR37" t="s">
        <v>608</v>
      </c>
      <c r="AS37">
        <v>2858800</v>
      </c>
      <c r="AT37" t="s">
        <v>83</v>
      </c>
      <c r="AU37">
        <v>2</v>
      </c>
    </row>
    <row r="38" spans="1:47" x14ac:dyDescent="0.3">
      <c r="A38" t="s">
        <v>609</v>
      </c>
      <c r="B38" t="s">
        <v>610</v>
      </c>
      <c r="C38" t="s">
        <v>489</v>
      </c>
      <c r="D38" t="s">
        <v>490</v>
      </c>
      <c r="E38" t="s">
        <v>93</v>
      </c>
      <c r="F38" t="s">
        <v>222</v>
      </c>
      <c r="G38">
        <v>1</v>
      </c>
      <c r="H38">
        <v>10</v>
      </c>
      <c r="I38" t="s">
        <v>47</v>
      </c>
      <c r="K38" t="s">
        <v>64</v>
      </c>
      <c r="L38" t="s">
        <v>48</v>
      </c>
      <c r="M38" t="s">
        <v>223</v>
      </c>
      <c r="N38">
        <v>3203600</v>
      </c>
      <c r="O38" t="s">
        <v>492</v>
      </c>
      <c r="Q38" t="s">
        <v>611</v>
      </c>
      <c r="R38" t="s">
        <v>483</v>
      </c>
      <c r="T38">
        <v>0</v>
      </c>
      <c r="U38">
        <v>0</v>
      </c>
      <c r="V38">
        <v>3203600</v>
      </c>
      <c r="W38" t="s">
        <v>492</v>
      </c>
      <c r="X38" t="s">
        <v>611</v>
      </c>
      <c r="Y38" t="s">
        <v>483</v>
      </c>
      <c r="Z38" t="s">
        <v>50</v>
      </c>
      <c r="AA38">
        <v>0</v>
      </c>
      <c r="AB38">
        <v>0</v>
      </c>
      <c r="AC38">
        <v>3304400</v>
      </c>
      <c r="AD38" t="s">
        <v>494</v>
      </c>
      <c r="AE38">
        <v>2</v>
      </c>
      <c r="AF38">
        <v>0</v>
      </c>
      <c r="AG38" t="s">
        <v>53</v>
      </c>
      <c r="AH38" t="s">
        <v>72</v>
      </c>
      <c r="AI38" t="s">
        <v>73</v>
      </c>
      <c r="AJ38" t="s">
        <v>74</v>
      </c>
      <c r="AK38" t="s">
        <v>485</v>
      </c>
      <c r="AL38">
        <v>0</v>
      </c>
      <c r="AM38">
        <v>0</v>
      </c>
      <c r="AN38" t="s">
        <v>50</v>
      </c>
      <c r="AO38" t="s">
        <v>483</v>
      </c>
      <c r="AP38" t="s">
        <v>492</v>
      </c>
      <c r="AR38" t="s">
        <v>611</v>
      </c>
      <c r="AS38">
        <v>3203600</v>
      </c>
      <c r="AT38" t="s">
        <v>982</v>
      </c>
      <c r="AU38">
        <v>2</v>
      </c>
    </row>
    <row r="39" spans="1:47" x14ac:dyDescent="0.3">
      <c r="A39" t="s">
        <v>612</v>
      </c>
      <c r="B39" t="s">
        <v>613</v>
      </c>
      <c r="C39" t="s">
        <v>489</v>
      </c>
      <c r="D39" t="s">
        <v>490</v>
      </c>
      <c r="E39" t="s">
        <v>505</v>
      </c>
      <c r="F39" t="s">
        <v>228</v>
      </c>
      <c r="G39">
        <v>1</v>
      </c>
      <c r="H39">
        <v>10</v>
      </c>
      <c r="I39" t="s">
        <v>47</v>
      </c>
      <c r="K39" t="s">
        <v>64</v>
      </c>
      <c r="L39" t="s">
        <v>81</v>
      </c>
      <c r="M39" t="s">
        <v>229</v>
      </c>
      <c r="N39">
        <v>3203600</v>
      </c>
      <c r="O39" t="s">
        <v>492</v>
      </c>
      <c r="Q39" t="s">
        <v>614</v>
      </c>
      <c r="R39" t="s">
        <v>483</v>
      </c>
      <c r="S39" t="s">
        <v>50</v>
      </c>
      <c r="T39">
        <v>0</v>
      </c>
      <c r="U39">
        <v>0</v>
      </c>
      <c r="V39">
        <v>3203600</v>
      </c>
      <c r="W39" t="s">
        <v>492</v>
      </c>
      <c r="X39" t="s">
        <v>614</v>
      </c>
      <c r="Y39" t="s">
        <v>483</v>
      </c>
      <c r="Z39" t="s">
        <v>50</v>
      </c>
      <c r="AA39">
        <v>0</v>
      </c>
      <c r="AB39">
        <v>0</v>
      </c>
      <c r="AC39">
        <v>3304400</v>
      </c>
      <c r="AD39" t="s">
        <v>494</v>
      </c>
      <c r="AE39">
        <v>2</v>
      </c>
      <c r="AF39">
        <v>0</v>
      </c>
      <c r="AG39" t="s">
        <v>53</v>
      </c>
      <c r="AH39" t="s">
        <v>72</v>
      </c>
      <c r="AI39" t="s">
        <v>73</v>
      </c>
      <c r="AJ39" t="s">
        <v>74</v>
      </c>
      <c r="AK39" t="s">
        <v>485</v>
      </c>
      <c r="AL39">
        <v>0</v>
      </c>
      <c r="AM39">
        <v>0</v>
      </c>
      <c r="AN39" t="s">
        <v>50</v>
      </c>
      <c r="AO39" t="s">
        <v>483</v>
      </c>
      <c r="AP39" t="s">
        <v>492</v>
      </c>
      <c r="AQ39" t="s">
        <v>486</v>
      </c>
      <c r="AR39" t="s">
        <v>614</v>
      </c>
      <c r="AS39">
        <v>3203600</v>
      </c>
      <c r="AT39" t="s">
        <v>980</v>
      </c>
      <c r="AU39">
        <v>2</v>
      </c>
    </row>
    <row r="40" spans="1:47" x14ac:dyDescent="0.3">
      <c r="A40" t="s">
        <v>615</v>
      </c>
      <c r="B40" t="s">
        <v>616</v>
      </c>
      <c r="C40" t="s">
        <v>516</v>
      </c>
      <c r="D40" t="s">
        <v>517</v>
      </c>
      <c r="E40" t="s">
        <v>62</v>
      </c>
      <c r="F40" t="s">
        <v>228</v>
      </c>
      <c r="G40">
        <v>1</v>
      </c>
      <c r="H40">
        <v>10</v>
      </c>
      <c r="I40" t="s">
        <v>47</v>
      </c>
      <c r="K40" t="s">
        <v>64</v>
      </c>
      <c r="L40" t="s">
        <v>48</v>
      </c>
      <c r="M40" t="s">
        <v>229</v>
      </c>
      <c r="N40">
        <v>3480300</v>
      </c>
      <c r="O40" t="s">
        <v>518</v>
      </c>
      <c r="Q40" t="s">
        <v>617</v>
      </c>
      <c r="R40" t="s">
        <v>483</v>
      </c>
      <c r="S40" t="s">
        <v>50</v>
      </c>
      <c r="T40">
        <v>0</v>
      </c>
      <c r="U40">
        <v>0</v>
      </c>
      <c r="V40">
        <v>3480300</v>
      </c>
      <c r="W40" t="s">
        <v>518</v>
      </c>
      <c r="X40" t="s">
        <v>617</v>
      </c>
      <c r="Y40" t="s">
        <v>483</v>
      </c>
      <c r="Z40" t="s">
        <v>50</v>
      </c>
      <c r="AA40">
        <v>0</v>
      </c>
      <c r="AB40">
        <v>0</v>
      </c>
      <c r="AC40">
        <v>3589900</v>
      </c>
      <c r="AD40" t="s">
        <v>520</v>
      </c>
      <c r="AE40">
        <v>2</v>
      </c>
      <c r="AF40">
        <v>0</v>
      </c>
      <c r="AG40" t="s">
        <v>53</v>
      </c>
      <c r="AH40" t="s">
        <v>72</v>
      </c>
      <c r="AI40" t="s">
        <v>73</v>
      </c>
      <c r="AJ40" t="s">
        <v>74</v>
      </c>
      <c r="AK40" t="s">
        <v>485</v>
      </c>
      <c r="AL40">
        <v>0</v>
      </c>
      <c r="AM40">
        <v>0</v>
      </c>
      <c r="AN40" t="s">
        <v>50</v>
      </c>
      <c r="AO40" t="s">
        <v>483</v>
      </c>
      <c r="AP40" t="s">
        <v>518</v>
      </c>
      <c r="AQ40" t="s">
        <v>486</v>
      </c>
      <c r="AR40" t="s">
        <v>617</v>
      </c>
      <c r="AS40">
        <v>3480300</v>
      </c>
      <c r="AT40" t="s">
        <v>83</v>
      </c>
      <c r="AU40">
        <v>2</v>
      </c>
    </row>
    <row r="41" spans="1:47" x14ac:dyDescent="0.3">
      <c r="A41" t="s">
        <v>618</v>
      </c>
      <c r="B41" t="s">
        <v>619</v>
      </c>
      <c r="C41" t="s">
        <v>516</v>
      </c>
      <c r="D41" t="s">
        <v>517</v>
      </c>
      <c r="E41" t="s">
        <v>62</v>
      </c>
      <c r="F41" t="s">
        <v>228</v>
      </c>
      <c r="G41">
        <v>1</v>
      </c>
      <c r="H41">
        <v>10</v>
      </c>
      <c r="I41" t="s">
        <v>47</v>
      </c>
      <c r="K41" t="s">
        <v>64</v>
      </c>
      <c r="L41" t="s">
        <v>48</v>
      </c>
      <c r="M41" t="s">
        <v>229</v>
      </c>
      <c r="N41">
        <v>3480300</v>
      </c>
      <c r="O41" t="s">
        <v>518</v>
      </c>
      <c r="Q41" t="s">
        <v>620</v>
      </c>
      <c r="R41" t="s">
        <v>483</v>
      </c>
      <c r="S41" t="s">
        <v>50</v>
      </c>
      <c r="T41">
        <v>0</v>
      </c>
      <c r="U41">
        <v>0</v>
      </c>
      <c r="V41">
        <v>3480300</v>
      </c>
      <c r="W41" t="s">
        <v>518</v>
      </c>
      <c r="X41" t="s">
        <v>620</v>
      </c>
      <c r="Y41" t="s">
        <v>483</v>
      </c>
      <c r="Z41" t="s">
        <v>50</v>
      </c>
      <c r="AA41">
        <v>0</v>
      </c>
      <c r="AB41">
        <v>0</v>
      </c>
      <c r="AC41">
        <v>3589900</v>
      </c>
      <c r="AD41" t="s">
        <v>520</v>
      </c>
      <c r="AE41">
        <v>2</v>
      </c>
      <c r="AF41">
        <v>0</v>
      </c>
      <c r="AG41" t="s">
        <v>53</v>
      </c>
      <c r="AH41" t="s">
        <v>72</v>
      </c>
      <c r="AI41" t="s">
        <v>73</v>
      </c>
      <c r="AJ41" t="s">
        <v>74</v>
      </c>
      <c r="AK41" t="s">
        <v>485</v>
      </c>
      <c r="AL41">
        <v>0</v>
      </c>
      <c r="AM41">
        <v>0</v>
      </c>
      <c r="AN41" t="s">
        <v>50</v>
      </c>
      <c r="AO41" t="s">
        <v>483</v>
      </c>
      <c r="AP41" t="s">
        <v>518</v>
      </c>
      <c r="AQ41" t="s">
        <v>486</v>
      </c>
      <c r="AR41" t="s">
        <v>620</v>
      </c>
      <c r="AS41">
        <v>3480300</v>
      </c>
      <c r="AT41" t="s">
        <v>83</v>
      </c>
      <c r="AU41">
        <v>2</v>
      </c>
    </row>
    <row r="42" spans="1:47" s="8" customFormat="1" x14ac:dyDescent="0.3">
      <c r="A42" s="8" t="s">
        <v>621</v>
      </c>
      <c r="B42" s="8" t="s">
        <v>622</v>
      </c>
      <c r="C42" s="8" t="s">
        <v>489</v>
      </c>
      <c r="D42" s="8" t="s">
        <v>490</v>
      </c>
      <c r="E42" s="8" t="s">
        <v>501</v>
      </c>
      <c r="F42" s="8" t="s">
        <v>228</v>
      </c>
      <c r="G42" s="8">
        <v>1</v>
      </c>
      <c r="H42" s="8">
        <v>10</v>
      </c>
      <c r="I42" s="8" t="s">
        <v>47</v>
      </c>
      <c r="J42" s="26"/>
      <c r="K42" s="8" t="s">
        <v>64</v>
      </c>
      <c r="L42" s="8" t="s">
        <v>81</v>
      </c>
      <c r="M42" s="8" t="s">
        <v>229</v>
      </c>
      <c r="N42" s="8">
        <v>3203600</v>
      </c>
      <c r="O42" s="8" t="s">
        <v>492</v>
      </c>
      <c r="Q42" s="8" t="s">
        <v>623</v>
      </c>
      <c r="R42" s="8" t="s">
        <v>483</v>
      </c>
      <c r="S42" s="8" t="s">
        <v>50</v>
      </c>
      <c r="T42" s="8">
        <v>0</v>
      </c>
      <c r="U42" s="8">
        <v>0</v>
      </c>
      <c r="V42" s="8">
        <v>3203600</v>
      </c>
      <c r="W42" s="8" t="s">
        <v>492</v>
      </c>
      <c r="X42" s="8" t="s">
        <v>623</v>
      </c>
      <c r="Y42" s="8" t="s">
        <v>483</v>
      </c>
      <c r="Z42" s="8" t="s">
        <v>50</v>
      </c>
      <c r="AA42" s="8">
        <v>0</v>
      </c>
      <c r="AB42" s="8">
        <v>0</v>
      </c>
      <c r="AC42" s="8">
        <v>3304400</v>
      </c>
      <c r="AD42" s="8" t="s">
        <v>494</v>
      </c>
      <c r="AE42" s="8">
        <v>2</v>
      </c>
      <c r="AF42" s="8">
        <v>0</v>
      </c>
      <c r="AG42" s="8" t="s">
        <v>53</v>
      </c>
      <c r="AH42" s="8" t="s">
        <v>72</v>
      </c>
      <c r="AI42" s="8" t="s">
        <v>73</v>
      </c>
      <c r="AJ42" s="8" t="s">
        <v>74</v>
      </c>
      <c r="AK42" s="8" t="s">
        <v>485</v>
      </c>
      <c r="AL42" s="8">
        <v>0</v>
      </c>
      <c r="AM42" s="8">
        <v>0</v>
      </c>
      <c r="AN42" s="8" t="s">
        <v>50</v>
      </c>
      <c r="AO42" s="8" t="s">
        <v>483</v>
      </c>
      <c r="AP42" s="8" t="s">
        <v>492</v>
      </c>
      <c r="AQ42" s="8" t="s">
        <v>486</v>
      </c>
      <c r="AR42" s="8" t="s">
        <v>623</v>
      </c>
      <c r="AS42" s="8">
        <v>3203600</v>
      </c>
      <c r="AT42" s="8" t="s">
        <v>984</v>
      </c>
      <c r="AU42" s="8">
        <v>2</v>
      </c>
    </row>
    <row r="43" spans="1:47" x14ac:dyDescent="0.3">
      <c r="A43" t="s">
        <v>624</v>
      </c>
      <c r="B43" t="s">
        <v>625</v>
      </c>
      <c r="C43" t="s">
        <v>516</v>
      </c>
      <c r="D43" t="s">
        <v>517</v>
      </c>
      <c r="E43" t="s">
        <v>586</v>
      </c>
      <c r="F43" t="s">
        <v>626</v>
      </c>
      <c r="G43">
        <v>1</v>
      </c>
      <c r="H43">
        <v>10</v>
      </c>
      <c r="I43" t="s">
        <v>47</v>
      </c>
      <c r="K43" t="s">
        <v>64</v>
      </c>
      <c r="L43" t="s">
        <v>48</v>
      </c>
      <c r="M43" t="s">
        <v>627</v>
      </c>
      <c r="N43">
        <v>3480300</v>
      </c>
      <c r="O43" t="s">
        <v>518</v>
      </c>
      <c r="Q43" t="s">
        <v>628</v>
      </c>
      <c r="R43" t="s">
        <v>483</v>
      </c>
      <c r="T43">
        <v>0</v>
      </c>
      <c r="U43">
        <v>0</v>
      </c>
      <c r="V43">
        <v>3480300</v>
      </c>
      <c r="W43" t="s">
        <v>518</v>
      </c>
      <c r="X43" t="s">
        <v>628</v>
      </c>
      <c r="Y43" t="s">
        <v>483</v>
      </c>
      <c r="Z43" t="s">
        <v>50</v>
      </c>
      <c r="AA43">
        <v>0</v>
      </c>
      <c r="AB43">
        <v>0</v>
      </c>
      <c r="AC43">
        <v>3589900</v>
      </c>
      <c r="AD43" t="s">
        <v>520</v>
      </c>
      <c r="AE43">
        <v>2</v>
      </c>
      <c r="AF43">
        <v>0</v>
      </c>
      <c r="AG43" t="s">
        <v>53</v>
      </c>
      <c r="AH43" t="s">
        <v>72</v>
      </c>
      <c r="AI43" t="s">
        <v>73</v>
      </c>
      <c r="AJ43" t="s">
        <v>74</v>
      </c>
      <c r="AK43" t="s">
        <v>485</v>
      </c>
      <c r="AL43">
        <v>0</v>
      </c>
      <c r="AM43">
        <v>0</v>
      </c>
      <c r="AN43" t="s">
        <v>50</v>
      </c>
      <c r="AO43" t="s">
        <v>483</v>
      </c>
      <c r="AP43" t="s">
        <v>518</v>
      </c>
      <c r="AR43" t="s">
        <v>628</v>
      </c>
      <c r="AS43">
        <v>3480300</v>
      </c>
      <c r="AT43" t="s">
        <v>83</v>
      </c>
      <c r="AU43">
        <v>2</v>
      </c>
    </row>
    <row r="44" spans="1:47" x14ac:dyDescent="0.3">
      <c r="A44" t="s">
        <v>629</v>
      </c>
      <c r="B44" t="s">
        <v>630</v>
      </c>
      <c r="C44" t="s">
        <v>516</v>
      </c>
      <c r="D44" t="s">
        <v>517</v>
      </c>
      <c r="E44" t="s">
        <v>62</v>
      </c>
      <c r="F44" t="s">
        <v>626</v>
      </c>
      <c r="G44">
        <v>1</v>
      </c>
      <c r="H44">
        <v>10</v>
      </c>
      <c r="I44" t="s">
        <v>47</v>
      </c>
      <c r="K44" t="s">
        <v>64</v>
      </c>
      <c r="L44" t="s">
        <v>48</v>
      </c>
      <c r="M44" t="s">
        <v>627</v>
      </c>
      <c r="N44">
        <v>3480300</v>
      </c>
      <c r="O44" t="s">
        <v>518</v>
      </c>
      <c r="Q44" t="s">
        <v>631</v>
      </c>
      <c r="R44" t="s">
        <v>483</v>
      </c>
      <c r="T44">
        <v>0</v>
      </c>
      <c r="U44">
        <v>0</v>
      </c>
      <c r="V44">
        <v>3480300</v>
      </c>
      <c r="W44" t="s">
        <v>518</v>
      </c>
      <c r="X44" t="s">
        <v>631</v>
      </c>
      <c r="Y44" t="s">
        <v>483</v>
      </c>
      <c r="Z44" t="s">
        <v>50</v>
      </c>
      <c r="AA44">
        <v>0</v>
      </c>
      <c r="AB44">
        <v>0</v>
      </c>
      <c r="AC44">
        <v>3589900</v>
      </c>
      <c r="AD44" t="s">
        <v>520</v>
      </c>
      <c r="AE44">
        <v>2</v>
      </c>
      <c r="AF44">
        <v>0</v>
      </c>
      <c r="AG44" t="s">
        <v>53</v>
      </c>
      <c r="AH44" t="s">
        <v>72</v>
      </c>
      <c r="AI44" t="s">
        <v>73</v>
      </c>
      <c r="AJ44" t="s">
        <v>74</v>
      </c>
      <c r="AK44" t="s">
        <v>485</v>
      </c>
      <c r="AL44">
        <v>0</v>
      </c>
      <c r="AM44">
        <v>0</v>
      </c>
      <c r="AN44" t="s">
        <v>50</v>
      </c>
      <c r="AO44" t="s">
        <v>483</v>
      </c>
      <c r="AP44" t="s">
        <v>518</v>
      </c>
      <c r="AR44" t="s">
        <v>631</v>
      </c>
      <c r="AS44">
        <v>3480300</v>
      </c>
      <c r="AT44" t="s">
        <v>83</v>
      </c>
      <c r="AU44">
        <v>2</v>
      </c>
    </row>
    <row r="45" spans="1:47" x14ac:dyDescent="0.3">
      <c r="A45" t="s">
        <v>632</v>
      </c>
      <c r="B45" t="s">
        <v>633</v>
      </c>
      <c r="C45" t="s">
        <v>489</v>
      </c>
      <c r="D45" t="s">
        <v>490</v>
      </c>
      <c r="E45" t="s">
        <v>80</v>
      </c>
      <c r="F45" t="s">
        <v>626</v>
      </c>
      <c r="G45">
        <v>1</v>
      </c>
      <c r="H45">
        <v>10</v>
      </c>
      <c r="I45" t="s">
        <v>47</v>
      </c>
      <c r="K45" t="s">
        <v>64</v>
      </c>
      <c r="L45" t="s">
        <v>81</v>
      </c>
      <c r="M45" t="s">
        <v>627</v>
      </c>
      <c r="N45">
        <v>3203600</v>
      </c>
      <c r="O45" t="s">
        <v>492</v>
      </c>
      <c r="Q45" t="s">
        <v>634</v>
      </c>
      <c r="R45" t="s">
        <v>483</v>
      </c>
      <c r="T45">
        <v>0</v>
      </c>
      <c r="U45">
        <v>0</v>
      </c>
      <c r="V45">
        <v>3203600</v>
      </c>
      <c r="W45" t="s">
        <v>492</v>
      </c>
      <c r="X45" t="s">
        <v>634</v>
      </c>
      <c r="Y45" t="s">
        <v>483</v>
      </c>
      <c r="Z45" t="s">
        <v>50</v>
      </c>
      <c r="AA45">
        <v>0</v>
      </c>
      <c r="AB45">
        <v>0</v>
      </c>
      <c r="AC45">
        <v>3304400</v>
      </c>
      <c r="AD45" t="s">
        <v>494</v>
      </c>
      <c r="AE45">
        <v>2</v>
      </c>
      <c r="AF45">
        <v>0</v>
      </c>
      <c r="AG45" t="s">
        <v>53</v>
      </c>
      <c r="AH45" t="s">
        <v>72</v>
      </c>
      <c r="AI45" t="s">
        <v>73</v>
      </c>
      <c r="AJ45" t="s">
        <v>74</v>
      </c>
      <c r="AK45" t="s">
        <v>485</v>
      </c>
      <c r="AL45">
        <v>0</v>
      </c>
      <c r="AM45">
        <v>0</v>
      </c>
      <c r="AN45" t="s">
        <v>50</v>
      </c>
      <c r="AO45" t="s">
        <v>483</v>
      </c>
      <c r="AP45" t="s">
        <v>492</v>
      </c>
      <c r="AR45" t="s">
        <v>634</v>
      </c>
      <c r="AS45">
        <v>3203600</v>
      </c>
      <c r="AT45" t="s">
        <v>83</v>
      </c>
      <c r="AU45">
        <v>2</v>
      </c>
    </row>
    <row r="46" spans="1:47" x14ac:dyDescent="0.3">
      <c r="A46" t="s">
        <v>635</v>
      </c>
      <c r="B46" t="s">
        <v>636</v>
      </c>
      <c r="C46" t="s">
        <v>489</v>
      </c>
      <c r="D46" t="s">
        <v>490</v>
      </c>
      <c r="E46" t="s">
        <v>497</v>
      </c>
      <c r="F46" t="s">
        <v>235</v>
      </c>
      <c r="G46">
        <v>1</v>
      </c>
      <c r="H46">
        <v>10</v>
      </c>
      <c r="I46" t="s">
        <v>47</v>
      </c>
      <c r="K46" t="s">
        <v>64</v>
      </c>
      <c r="L46" t="s">
        <v>48</v>
      </c>
      <c r="M46" t="s">
        <v>236</v>
      </c>
      <c r="N46">
        <v>3203600</v>
      </c>
      <c r="O46" t="s">
        <v>492</v>
      </c>
      <c r="Q46" t="s">
        <v>637</v>
      </c>
      <c r="R46" t="s">
        <v>483</v>
      </c>
      <c r="S46" t="s">
        <v>50</v>
      </c>
      <c r="T46">
        <v>0</v>
      </c>
      <c r="U46">
        <v>0</v>
      </c>
      <c r="V46">
        <v>3203600</v>
      </c>
      <c r="W46" t="s">
        <v>492</v>
      </c>
      <c r="X46" t="s">
        <v>637</v>
      </c>
      <c r="Y46" t="s">
        <v>483</v>
      </c>
      <c r="Z46" t="s">
        <v>50</v>
      </c>
      <c r="AA46">
        <v>0</v>
      </c>
      <c r="AB46">
        <v>0</v>
      </c>
      <c r="AC46">
        <v>3304400</v>
      </c>
      <c r="AD46" t="s">
        <v>494</v>
      </c>
      <c r="AE46">
        <v>2</v>
      </c>
      <c r="AF46">
        <v>0</v>
      </c>
      <c r="AG46" t="s">
        <v>53</v>
      </c>
      <c r="AH46" t="s">
        <v>72</v>
      </c>
      <c r="AI46" t="s">
        <v>73</v>
      </c>
      <c r="AJ46" t="s">
        <v>74</v>
      </c>
      <c r="AK46" t="s">
        <v>485</v>
      </c>
      <c r="AL46">
        <v>0</v>
      </c>
      <c r="AM46">
        <v>0</v>
      </c>
      <c r="AN46" t="s">
        <v>50</v>
      </c>
      <c r="AO46" t="s">
        <v>483</v>
      </c>
      <c r="AP46" t="s">
        <v>492</v>
      </c>
      <c r="AQ46" t="s">
        <v>486</v>
      </c>
      <c r="AR46" t="s">
        <v>637</v>
      </c>
      <c r="AS46">
        <v>3203600</v>
      </c>
      <c r="AT46" t="s">
        <v>980</v>
      </c>
      <c r="AU46">
        <v>2</v>
      </c>
    </row>
    <row r="47" spans="1:47" x14ac:dyDescent="0.3">
      <c r="A47" t="s">
        <v>638</v>
      </c>
      <c r="B47" t="s">
        <v>639</v>
      </c>
      <c r="C47" t="s">
        <v>489</v>
      </c>
      <c r="D47" t="s">
        <v>490</v>
      </c>
      <c r="E47" t="s">
        <v>640</v>
      </c>
      <c r="F47" t="s">
        <v>235</v>
      </c>
      <c r="G47">
        <v>1</v>
      </c>
      <c r="H47">
        <v>10</v>
      </c>
      <c r="I47" t="s">
        <v>47</v>
      </c>
      <c r="K47" t="s">
        <v>64</v>
      </c>
      <c r="L47" t="s">
        <v>48</v>
      </c>
      <c r="M47" t="s">
        <v>236</v>
      </c>
      <c r="N47">
        <v>3203600</v>
      </c>
      <c r="O47" t="s">
        <v>492</v>
      </c>
      <c r="Q47" t="s">
        <v>641</v>
      </c>
      <c r="R47" t="s">
        <v>483</v>
      </c>
      <c r="S47" t="s">
        <v>50</v>
      </c>
      <c r="T47">
        <v>0</v>
      </c>
      <c r="U47">
        <v>0</v>
      </c>
      <c r="V47">
        <v>3203600</v>
      </c>
      <c r="W47" t="s">
        <v>492</v>
      </c>
      <c r="X47" t="s">
        <v>641</v>
      </c>
      <c r="Y47" t="s">
        <v>483</v>
      </c>
      <c r="Z47" t="s">
        <v>50</v>
      </c>
      <c r="AA47">
        <v>0</v>
      </c>
      <c r="AB47">
        <v>0</v>
      </c>
      <c r="AC47">
        <v>3304400</v>
      </c>
      <c r="AD47" t="s">
        <v>494</v>
      </c>
      <c r="AE47">
        <v>2</v>
      </c>
      <c r="AF47">
        <v>0</v>
      </c>
      <c r="AG47" t="s">
        <v>53</v>
      </c>
      <c r="AH47" t="s">
        <v>72</v>
      </c>
      <c r="AI47" t="s">
        <v>73</v>
      </c>
      <c r="AJ47" t="s">
        <v>74</v>
      </c>
      <c r="AK47" t="s">
        <v>485</v>
      </c>
      <c r="AL47">
        <v>0</v>
      </c>
      <c r="AM47">
        <v>0</v>
      </c>
      <c r="AN47" t="s">
        <v>50</v>
      </c>
      <c r="AO47" t="s">
        <v>483</v>
      </c>
      <c r="AP47" t="s">
        <v>492</v>
      </c>
      <c r="AQ47" t="s">
        <v>486</v>
      </c>
      <c r="AR47" t="s">
        <v>641</v>
      </c>
      <c r="AS47">
        <v>3203600</v>
      </c>
      <c r="AT47" t="s">
        <v>982</v>
      </c>
      <c r="AU47">
        <v>2</v>
      </c>
    </row>
    <row r="48" spans="1:47" x14ac:dyDescent="0.3">
      <c r="A48" t="s">
        <v>642</v>
      </c>
      <c r="B48" t="s">
        <v>643</v>
      </c>
      <c r="C48" t="s">
        <v>516</v>
      </c>
      <c r="D48" t="s">
        <v>517</v>
      </c>
      <c r="E48" t="s">
        <v>62</v>
      </c>
      <c r="F48" t="s">
        <v>235</v>
      </c>
      <c r="G48">
        <v>1</v>
      </c>
      <c r="H48">
        <v>10</v>
      </c>
      <c r="I48" t="s">
        <v>47</v>
      </c>
      <c r="K48" t="s">
        <v>64</v>
      </c>
      <c r="L48" t="s">
        <v>48</v>
      </c>
      <c r="M48" t="s">
        <v>236</v>
      </c>
      <c r="N48">
        <v>3480300</v>
      </c>
      <c r="O48" t="s">
        <v>518</v>
      </c>
      <c r="Q48" t="s">
        <v>644</v>
      </c>
      <c r="R48" t="s">
        <v>483</v>
      </c>
      <c r="S48" t="s">
        <v>50</v>
      </c>
      <c r="T48">
        <v>0</v>
      </c>
      <c r="U48">
        <v>0</v>
      </c>
      <c r="V48">
        <v>3480300</v>
      </c>
      <c r="W48" t="s">
        <v>518</v>
      </c>
      <c r="X48" t="s">
        <v>644</v>
      </c>
      <c r="Y48" t="s">
        <v>483</v>
      </c>
      <c r="Z48" t="s">
        <v>50</v>
      </c>
      <c r="AA48">
        <v>0</v>
      </c>
      <c r="AB48">
        <v>0</v>
      </c>
      <c r="AC48">
        <v>3589900</v>
      </c>
      <c r="AD48" t="s">
        <v>520</v>
      </c>
      <c r="AE48">
        <v>2</v>
      </c>
      <c r="AF48">
        <v>0</v>
      </c>
      <c r="AG48" t="s">
        <v>53</v>
      </c>
      <c r="AH48" t="s">
        <v>72</v>
      </c>
      <c r="AI48" t="s">
        <v>73</v>
      </c>
      <c r="AJ48" t="s">
        <v>74</v>
      </c>
      <c r="AK48" t="s">
        <v>485</v>
      </c>
      <c r="AL48">
        <v>0</v>
      </c>
      <c r="AM48">
        <v>0</v>
      </c>
      <c r="AN48" t="s">
        <v>50</v>
      </c>
      <c r="AO48" t="s">
        <v>483</v>
      </c>
      <c r="AP48" t="s">
        <v>518</v>
      </c>
      <c r="AQ48" t="s">
        <v>486</v>
      </c>
      <c r="AR48" t="s">
        <v>644</v>
      </c>
      <c r="AS48">
        <v>3480300</v>
      </c>
      <c r="AT48" t="s">
        <v>83</v>
      </c>
      <c r="AU48">
        <v>2</v>
      </c>
    </row>
    <row r="49" spans="1:47" x14ac:dyDescent="0.3">
      <c r="A49" t="s">
        <v>645</v>
      </c>
      <c r="B49" t="s">
        <v>646</v>
      </c>
      <c r="C49" t="s">
        <v>477</v>
      </c>
      <c r="D49" t="s">
        <v>478</v>
      </c>
      <c r="E49" t="s">
        <v>558</v>
      </c>
      <c r="F49" t="s">
        <v>241</v>
      </c>
      <c r="G49">
        <v>1</v>
      </c>
      <c r="H49">
        <v>10</v>
      </c>
      <c r="I49" t="s">
        <v>47</v>
      </c>
      <c r="K49" t="s">
        <v>64</v>
      </c>
      <c r="L49" t="s">
        <v>48</v>
      </c>
      <c r="M49" t="s">
        <v>242</v>
      </c>
      <c r="N49">
        <v>2858800</v>
      </c>
      <c r="O49" t="s">
        <v>481</v>
      </c>
      <c r="Q49" t="s">
        <v>647</v>
      </c>
      <c r="R49" t="s">
        <v>483</v>
      </c>
      <c r="T49">
        <v>0</v>
      </c>
      <c r="U49">
        <v>0</v>
      </c>
      <c r="V49">
        <v>2858800</v>
      </c>
      <c r="W49" t="s">
        <v>481</v>
      </c>
      <c r="X49" t="s">
        <v>647</v>
      </c>
      <c r="Y49" t="s">
        <v>483</v>
      </c>
      <c r="Z49" t="s">
        <v>50</v>
      </c>
      <c r="AA49">
        <v>0</v>
      </c>
      <c r="AB49">
        <v>0</v>
      </c>
      <c r="AC49">
        <v>2948800</v>
      </c>
      <c r="AD49" t="s">
        <v>484</v>
      </c>
      <c r="AE49">
        <v>5</v>
      </c>
      <c r="AF49">
        <v>0</v>
      </c>
      <c r="AG49" t="s">
        <v>53</v>
      </c>
      <c r="AH49" t="s">
        <v>72</v>
      </c>
      <c r="AI49" t="s">
        <v>73</v>
      </c>
      <c r="AJ49" t="s">
        <v>74</v>
      </c>
      <c r="AK49" t="s">
        <v>485</v>
      </c>
      <c r="AL49">
        <v>3</v>
      </c>
      <c r="AM49">
        <v>0</v>
      </c>
      <c r="AN49" t="s">
        <v>50</v>
      </c>
      <c r="AO49" t="s">
        <v>483</v>
      </c>
      <c r="AP49" t="s">
        <v>481</v>
      </c>
      <c r="AR49" t="s">
        <v>647</v>
      </c>
      <c r="AS49">
        <v>2858800</v>
      </c>
      <c r="AT49" t="s">
        <v>83</v>
      </c>
      <c r="AU49">
        <v>2</v>
      </c>
    </row>
    <row r="50" spans="1:47" x14ac:dyDescent="0.3">
      <c r="A50" t="s">
        <v>648</v>
      </c>
      <c r="B50" t="s">
        <v>649</v>
      </c>
      <c r="C50" t="s">
        <v>477</v>
      </c>
      <c r="D50" t="s">
        <v>478</v>
      </c>
      <c r="E50" t="s">
        <v>558</v>
      </c>
      <c r="F50" t="s">
        <v>241</v>
      </c>
      <c r="G50">
        <v>1</v>
      </c>
      <c r="H50">
        <v>10</v>
      </c>
      <c r="I50" t="s">
        <v>47</v>
      </c>
      <c r="K50" t="s">
        <v>64</v>
      </c>
      <c r="L50" t="s">
        <v>81</v>
      </c>
      <c r="M50" t="s">
        <v>242</v>
      </c>
      <c r="N50">
        <v>2858800</v>
      </c>
      <c r="O50" t="s">
        <v>481</v>
      </c>
      <c r="Q50" t="s">
        <v>650</v>
      </c>
      <c r="R50" t="s">
        <v>483</v>
      </c>
      <c r="T50">
        <v>0</v>
      </c>
      <c r="U50">
        <v>0</v>
      </c>
      <c r="V50">
        <v>2858800</v>
      </c>
      <c r="W50" t="s">
        <v>481</v>
      </c>
      <c r="X50" t="s">
        <v>650</v>
      </c>
      <c r="Y50" t="s">
        <v>483</v>
      </c>
      <c r="Z50" t="s">
        <v>50</v>
      </c>
      <c r="AA50">
        <v>0</v>
      </c>
      <c r="AB50">
        <v>0</v>
      </c>
      <c r="AC50">
        <v>2948800</v>
      </c>
      <c r="AD50" t="s">
        <v>484</v>
      </c>
      <c r="AE50">
        <v>5</v>
      </c>
      <c r="AF50">
        <v>0</v>
      </c>
      <c r="AG50" t="s">
        <v>53</v>
      </c>
      <c r="AH50" t="s">
        <v>72</v>
      </c>
      <c r="AI50" t="s">
        <v>73</v>
      </c>
      <c r="AJ50" t="s">
        <v>74</v>
      </c>
      <c r="AK50" t="s">
        <v>485</v>
      </c>
      <c r="AL50">
        <v>3</v>
      </c>
      <c r="AM50">
        <v>0</v>
      </c>
      <c r="AN50" t="s">
        <v>50</v>
      </c>
      <c r="AO50" t="s">
        <v>483</v>
      </c>
      <c r="AP50" t="s">
        <v>481</v>
      </c>
      <c r="AR50" t="s">
        <v>650</v>
      </c>
      <c r="AS50">
        <v>2858800</v>
      </c>
      <c r="AT50" t="s">
        <v>83</v>
      </c>
      <c r="AU50">
        <v>2</v>
      </c>
    </row>
    <row r="51" spans="1:47" x14ac:dyDescent="0.3">
      <c r="A51" t="s">
        <v>651</v>
      </c>
      <c r="B51" t="s">
        <v>652</v>
      </c>
      <c r="C51" t="s">
        <v>489</v>
      </c>
      <c r="D51" t="s">
        <v>490</v>
      </c>
      <c r="E51" t="s">
        <v>80</v>
      </c>
      <c r="F51" t="s">
        <v>241</v>
      </c>
      <c r="G51">
        <v>1</v>
      </c>
      <c r="H51">
        <v>10</v>
      </c>
      <c r="I51" t="s">
        <v>47</v>
      </c>
      <c r="K51" t="s">
        <v>64</v>
      </c>
      <c r="L51" t="s">
        <v>81</v>
      </c>
      <c r="M51" t="s">
        <v>242</v>
      </c>
      <c r="N51">
        <v>3203600</v>
      </c>
      <c r="O51" t="s">
        <v>492</v>
      </c>
      <c r="Q51" t="s">
        <v>653</v>
      </c>
      <c r="R51" t="s">
        <v>483</v>
      </c>
      <c r="T51">
        <v>0</v>
      </c>
      <c r="U51">
        <v>0</v>
      </c>
      <c r="V51">
        <v>3203600</v>
      </c>
      <c r="W51" t="s">
        <v>492</v>
      </c>
      <c r="X51" t="s">
        <v>653</v>
      </c>
      <c r="Y51" t="s">
        <v>483</v>
      </c>
      <c r="Z51" t="s">
        <v>50</v>
      </c>
      <c r="AA51">
        <v>0</v>
      </c>
      <c r="AB51">
        <v>0</v>
      </c>
      <c r="AC51">
        <v>3304400</v>
      </c>
      <c r="AD51" t="s">
        <v>494</v>
      </c>
      <c r="AE51">
        <v>2</v>
      </c>
      <c r="AF51">
        <v>0</v>
      </c>
      <c r="AG51" t="s">
        <v>53</v>
      </c>
      <c r="AH51" t="s">
        <v>72</v>
      </c>
      <c r="AI51" t="s">
        <v>73</v>
      </c>
      <c r="AJ51" t="s">
        <v>74</v>
      </c>
      <c r="AK51" t="s">
        <v>485</v>
      </c>
      <c r="AL51">
        <v>0</v>
      </c>
      <c r="AM51">
        <v>0</v>
      </c>
      <c r="AN51" t="s">
        <v>50</v>
      </c>
      <c r="AO51" t="s">
        <v>483</v>
      </c>
      <c r="AP51" t="s">
        <v>492</v>
      </c>
      <c r="AR51" t="s">
        <v>653</v>
      </c>
      <c r="AS51">
        <v>3203600</v>
      </c>
      <c r="AT51" t="s">
        <v>83</v>
      </c>
      <c r="AU51">
        <v>2</v>
      </c>
    </row>
    <row r="52" spans="1:47" x14ac:dyDescent="0.3">
      <c r="A52" t="s">
        <v>654</v>
      </c>
      <c r="B52" t="s">
        <v>655</v>
      </c>
      <c r="C52" t="s">
        <v>516</v>
      </c>
      <c r="D52" t="s">
        <v>517</v>
      </c>
      <c r="E52" t="s">
        <v>62</v>
      </c>
      <c r="F52" t="s">
        <v>241</v>
      </c>
      <c r="G52">
        <v>1</v>
      </c>
      <c r="H52">
        <v>10</v>
      </c>
      <c r="I52" t="s">
        <v>47</v>
      </c>
      <c r="K52" t="s">
        <v>64</v>
      </c>
      <c r="L52" t="s">
        <v>48</v>
      </c>
      <c r="M52" t="s">
        <v>242</v>
      </c>
      <c r="N52">
        <v>3480300</v>
      </c>
      <c r="O52" t="s">
        <v>518</v>
      </c>
      <c r="Q52" t="s">
        <v>656</v>
      </c>
      <c r="R52" t="s">
        <v>483</v>
      </c>
      <c r="T52">
        <v>0</v>
      </c>
      <c r="U52">
        <v>0</v>
      </c>
      <c r="V52">
        <v>3480300</v>
      </c>
      <c r="W52" t="s">
        <v>518</v>
      </c>
      <c r="X52" t="s">
        <v>656</v>
      </c>
      <c r="Y52" t="s">
        <v>483</v>
      </c>
      <c r="Z52" t="s">
        <v>50</v>
      </c>
      <c r="AA52">
        <v>0</v>
      </c>
      <c r="AB52">
        <v>0</v>
      </c>
      <c r="AC52">
        <v>3589900</v>
      </c>
      <c r="AD52" t="s">
        <v>520</v>
      </c>
      <c r="AE52">
        <v>2</v>
      </c>
      <c r="AF52">
        <v>0</v>
      </c>
      <c r="AG52" t="s">
        <v>53</v>
      </c>
      <c r="AH52" t="s">
        <v>72</v>
      </c>
      <c r="AI52" t="s">
        <v>73</v>
      </c>
      <c r="AJ52" t="s">
        <v>74</v>
      </c>
      <c r="AK52" t="s">
        <v>485</v>
      </c>
      <c r="AL52">
        <v>0</v>
      </c>
      <c r="AM52">
        <v>0</v>
      </c>
      <c r="AN52" t="s">
        <v>50</v>
      </c>
      <c r="AO52" t="s">
        <v>483</v>
      </c>
      <c r="AP52" t="s">
        <v>518</v>
      </c>
      <c r="AR52" t="s">
        <v>656</v>
      </c>
      <c r="AS52">
        <v>3480300</v>
      </c>
      <c r="AT52" t="s">
        <v>83</v>
      </c>
      <c r="AU52">
        <v>2</v>
      </c>
    </row>
    <row r="53" spans="1:47" x14ac:dyDescent="0.3">
      <c r="A53" t="s">
        <v>657</v>
      </c>
      <c r="B53" t="s">
        <v>658</v>
      </c>
      <c r="C53" t="s">
        <v>489</v>
      </c>
      <c r="D53" t="s">
        <v>490</v>
      </c>
      <c r="E53" t="s">
        <v>505</v>
      </c>
      <c r="F53" t="s">
        <v>249</v>
      </c>
      <c r="G53">
        <v>1</v>
      </c>
      <c r="H53">
        <v>10</v>
      </c>
      <c r="I53" t="s">
        <v>47</v>
      </c>
      <c r="K53" t="s">
        <v>64</v>
      </c>
      <c r="L53" t="s">
        <v>81</v>
      </c>
      <c r="M53" t="s">
        <v>250</v>
      </c>
      <c r="N53">
        <v>3203600</v>
      </c>
      <c r="O53" t="s">
        <v>492</v>
      </c>
      <c r="Q53" t="s">
        <v>659</v>
      </c>
      <c r="R53" t="s">
        <v>483</v>
      </c>
      <c r="S53" t="s">
        <v>50</v>
      </c>
      <c r="T53">
        <v>0</v>
      </c>
      <c r="U53">
        <v>0</v>
      </c>
      <c r="V53">
        <v>3203600</v>
      </c>
      <c r="W53" t="s">
        <v>492</v>
      </c>
      <c r="X53" t="s">
        <v>659</v>
      </c>
      <c r="Y53" t="s">
        <v>483</v>
      </c>
      <c r="Z53" t="s">
        <v>50</v>
      </c>
      <c r="AA53">
        <v>0</v>
      </c>
      <c r="AB53">
        <v>0</v>
      </c>
      <c r="AC53">
        <v>3304400</v>
      </c>
      <c r="AD53" t="s">
        <v>494</v>
      </c>
      <c r="AE53">
        <v>2</v>
      </c>
      <c r="AF53">
        <v>0</v>
      </c>
      <c r="AG53" t="s">
        <v>53</v>
      </c>
      <c r="AH53" t="s">
        <v>72</v>
      </c>
      <c r="AI53" t="s">
        <v>73</v>
      </c>
      <c r="AJ53" t="s">
        <v>74</v>
      </c>
      <c r="AK53" t="s">
        <v>485</v>
      </c>
      <c r="AL53">
        <v>0</v>
      </c>
      <c r="AM53">
        <v>0</v>
      </c>
      <c r="AN53" t="s">
        <v>50</v>
      </c>
      <c r="AO53" t="s">
        <v>483</v>
      </c>
      <c r="AP53" t="s">
        <v>492</v>
      </c>
      <c r="AQ53" t="s">
        <v>486</v>
      </c>
      <c r="AR53" t="s">
        <v>659</v>
      </c>
      <c r="AS53">
        <v>3203600</v>
      </c>
      <c r="AT53" t="s">
        <v>984</v>
      </c>
      <c r="AU53">
        <v>2</v>
      </c>
    </row>
    <row r="54" spans="1:47" x14ac:dyDescent="0.3">
      <c r="A54" t="s">
        <v>660</v>
      </c>
      <c r="B54" t="s">
        <v>661</v>
      </c>
      <c r="C54" t="s">
        <v>516</v>
      </c>
      <c r="D54" t="s">
        <v>517</v>
      </c>
      <c r="E54" t="s">
        <v>62</v>
      </c>
      <c r="F54" t="s">
        <v>249</v>
      </c>
      <c r="G54">
        <v>1</v>
      </c>
      <c r="H54">
        <v>10</v>
      </c>
      <c r="I54" t="s">
        <v>47</v>
      </c>
      <c r="K54" t="s">
        <v>64</v>
      </c>
      <c r="L54" t="s">
        <v>48</v>
      </c>
      <c r="M54" t="s">
        <v>250</v>
      </c>
      <c r="N54">
        <v>3480300</v>
      </c>
      <c r="O54" t="s">
        <v>518</v>
      </c>
      <c r="Q54" t="s">
        <v>662</v>
      </c>
      <c r="R54" t="s">
        <v>483</v>
      </c>
      <c r="T54">
        <v>0</v>
      </c>
      <c r="U54">
        <v>0</v>
      </c>
      <c r="V54">
        <v>3480300</v>
      </c>
      <c r="W54" t="s">
        <v>518</v>
      </c>
      <c r="X54" t="s">
        <v>662</v>
      </c>
      <c r="Y54" t="s">
        <v>483</v>
      </c>
      <c r="Z54" t="s">
        <v>50</v>
      </c>
      <c r="AA54">
        <v>0</v>
      </c>
      <c r="AB54">
        <v>0</v>
      </c>
      <c r="AC54">
        <v>3589900</v>
      </c>
      <c r="AD54" t="s">
        <v>520</v>
      </c>
      <c r="AE54">
        <v>2</v>
      </c>
      <c r="AF54">
        <v>0</v>
      </c>
      <c r="AG54" t="s">
        <v>53</v>
      </c>
      <c r="AH54" t="s">
        <v>72</v>
      </c>
      <c r="AI54" t="s">
        <v>73</v>
      </c>
      <c r="AJ54" t="s">
        <v>74</v>
      </c>
      <c r="AK54" t="s">
        <v>485</v>
      </c>
      <c r="AL54">
        <v>0</v>
      </c>
      <c r="AM54">
        <v>0</v>
      </c>
      <c r="AN54" t="s">
        <v>50</v>
      </c>
      <c r="AO54" t="s">
        <v>483</v>
      </c>
      <c r="AP54" t="s">
        <v>518</v>
      </c>
      <c r="AR54" t="s">
        <v>662</v>
      </c>
      <c r="AS54">
        <v>3480300</v>
      </c>
      <c r="AT54" t="s">
        <v>83</v>
      </c>
      <c r="AU54">
        <v>2</v>
      </c>
    </row>
    <row r="55" spans="1:47" x14ac:dyDescent="0.3">
      <c r="A55" t="s">
        <v>663</v>
      </c>
      <c r="B55" t="s">
        <v>664</v>
      </c>
      <c r="C55" t="s">
        <v>477</v>
      </c>
      <c r="D55" t="s">
        <v>478</v>
      </c>
      <c r="E55" t="s">
        <v>665</v>
      </c>
      <c r="F55" t="s">
        <v>259</v>
      </c>
      <c r="G55">
        <v>1</v>
      </c>
      <c r="H55">
        <v>10</v>
      </c>
      <c r="I55" t="s">
        <v>47</v>
      </c>
      <c r="K55" t="s">
        <v>64</v>
      </c>
      <c r="L55" t="s">
        <v>48</v>
      </c>
      <c r="M55" t="s">
        <v>260</v>
      </c>
      <c r="N55">
        <v>2858800</v>
      </c>
      <c r="O55" t="s">
        <v>481</v>
      </c>
      <c r="Q55" t="s">
        <v>666</v>
      </c>
      <c r="R55" t="s">
        <v>483</v>
      </c>
      <c r="T55">
        <v>0</v>
      </c>
      <c r="U55">
        <v>0</v>
      </c>
      <c r="V55">
        <v>2858800</v>
      </c>
      <c r="W55" t="s">
        <v>481</v>
      </c>
      <c r="X55" t="s">
        <v>666</v>
      </c>
      <c r="Y55" t="s">
        <v>483</v>
      </c>
      <c r="Z55" t="s">
        <v>50</v>
      </c>
      <c r="AA55">
        <v>0</v>
      </c>
      <c r="AB55">
        <v>0</v>
      </c>
      <c r="AC55">
        <v>2948800</v>
      </c>
      <c r="AD55" t="s">
        <v>484</v>
      </c>
      <c r="AE55">
        <v>5</v>
      </c>
      <c r="AF55">
        <v>0</v>
      </c>
      <c r="AG55" t="s">
        <v>53</v>
      </c>
      <c r="AH55" t="s">
        <v>72</v>
      </c>
      <c r="AI55" t="s">
        <v>73</v>
      </c>
      <c r="AJ55" t="s">
        <v>74</v>
      </c>
      <c r="AK55" t="s">
        <v>485</v>
      </c>
      <c r="AL55">
        <v>3</v>
      </c>
      <c r="AM55">
        <v>0</v>
      </c>
      <c r="AN55" t="s">
        <v>50</v>
      </c>
      <c r="AO55" t="s">
        <v>483</v>
      </c>
      <c r="AP55" t="s">
        <v>481</v>
      </c>
      <c r="AR55" t="s">
        <v>666</v>
      </c>
      <c r="AS55">
        <v>2858800</v>
      </c>
      <c r="AT55" t="s">
        <v>982</v>
      </c>
      <c r="AU55">
        <v>2</v>
      </c>
    </row>
    <row r="56" spans="1:47" x14ac:dyDescent="0.3">
      <c r="A56" t="s">
        <v>667</v>
      </c>
      <c r="B56" t="s">
        <v>668</v>
      </c>
      <c r="C56" t="s">
        <v>516</v>
      </c>
      <c r="D56" t="s">
        <v>517</v>
      </c>
      <c r="E56" t="s">
        <v>62</v>
      </c>
      <c r="F56" t="s">
        <v>259</v>
      </c>
      <c r="G56">
        <v>1</v>
      </c>
      <c r="H56">
        <v>10</v>
      </c>
      <c r="I56" t="s">
        <v>47</v>
      </c>
      <c r="K56" t="s">
        <v>64</v>
      </c>
      <c r="L56" t="s">
        <v>48</v>
      </c>
      <c r="M56" t="s">
        <v>260</v>
      </c>
      <c r="N56">
        <v>3480300</v>
      </c>
      <c r="O56" t="s">
        <v>518</v>
      </c>
      <c r="Q56" t="s">
        <v>669</v>
      </c>
      <c r="R56" t="s">
        <v>483</v>
      </c>
      <c r="S56" t="s">
        <v>50</v>
      </c>
      <c r="T56">
        <v>0</v>
      </c>
      <c r="U56">
        <v>0</v>
      </c>
      <c r="V56">
        <v>3480300</v>
      </c>
      <c r="W56" t="s">
        <v>518</v>
      </c>
      <c r="X56" t="s">
        <v>669</v>
      </c>
      <c r="Y56" t="s">
        <v>483</v>
      </c>
      <c r="Z56" t="s">
        <v>50</v>
      </c>
      <c r="AA56">
        <v>0</v>
      </c>
      <c r="AB56">
        <v>0</v>
      </c>
      <c r="AC56">
        <v>3589900</v>
      </c>
      <c r="AD56" t="s">
        <v>520</v>
      </c>
      <c r="AE56">
        <v>2</v>
      </c>
      <c r="AF56">
        <v>0</v>
      </c>
      <c r="AG56" t="s">
        <v>53</v>
      </c>
      <c r="AH56" t="s">
        <v>72</v>
      </c>
      <c r="AI56" t="s">
        <v>73</v>
      </c>
      <c r="AJ56" t="s">
        <v>74</v>
      </c>
      <c r="AK56" t="s">
        <v>485</v>
      </c>
      <c r="AL56">
        <v>0</v>
      </c>
      <c r="AM56">
        <v>0</v>
      </c>
      <c r="AN56" t="s">
        <v>50</v>
      </c>
      <c r="AO56" t="s">
        <v>483</v>
      </c>
      <c r="AP56" t="s">
        <v>518</v>
      </c>
      <c r="AQ56" t="s">
        <v>486</v>
      </c>
      <c r="AR56" t="s">
        <v>669</v>
      </c>
      <c r="AS56">
        <v>3480300</v>
      </c>
      <c r="AT56" t="s">
        <v>83</v>
      </c>
      <c r="AU56">
        <v>2</v>
      </c>
    </row>
    <row r="57" spans="1:47" x14ac:dyDescent="0.3">
      <c r="A57" t="s">
        <v>670</v>
      </c>
      <c r="B57" t="s">
        <v>671</v>
      </c>
      <c r="C57" t="s">
        <v>489</v>
      </c>
      <c r="D57" t="s">
        <v>490</v>
      </c>
      <c r="E57" t="s">
        <v>672</v>
      </c>
      <c r="F57" t="s">
        <v>259</v>
      </c>
      <c r="G57">
        <v>1</v>
      </c>
      <c r="H57">
        <v>10</v>
      </c>
      <c r="I57" t="s">
        <v>47</v>
      </c>
      <c r="K57" t="s">
        <v>64</v>
      </c>
      <c r="L57" t="s">
        <v>81</v>
      </c>
      <c r="M57" t="s">
        <v>260</v>
      </c>
      <c r="N57">
        <v>3203600</v>
      </c>
      <c r="O57" t="s">
        <v>492</v>
      </c>
      <c r="Q57" t="s">
        <v>673</v>
      </c>
      <c r="R57" t="s">
        <v>483</v>
      </c>
      <c r="S57" t="s">
        <v>50</v>
      </c>
      <c r="T57">
        <v>0</v>
      </c>
      <c r="U57">
        <v>0</v>
      </c>
      <c r="V57">
        <v>3203600</v>
      </c>
      <c r="W57" t="s">
        <v>492</v>
      </c>
      <c r="X57" t="s">
        <v>673</v>
      </c>
      <c r="Y57" t="s">
        <v>483</v>
      </c>
      <c r="Z57" t="s">
        <v>50</v>
      </c>
      <c r="AA57">
        <v>0</v>
      </c>
      <c r="AB57">
        <v>0</v>
      </c>
      <c r="AC57">
        <v>3304400</v>
      </c>
      <c r="AD57" t="s">
        <v>494</v>
      </c>
      <c r="AE57">
        <v>2</v>
      </c>
      <c r="AF57">
        <v>0</v>
      </c>
      <c r="AG57" t="s">
        <v>53</v>
      </c>
      <c r="AH57" t="s">
        <v>72</v>
      </c>
      <c r="AI57" t="s">
        <v>73</v>
      </c>
      <c r="AJ57" t="s">
        <v>74</v>
      </c>
      <c r="AK57" t="s">
        <v>485</v>
      </c>
      <c r="AL57">
        <v>0</v>
      </c>
      <c r="AM57">
        <v>0</v>
      </c>
      <c r="AN57" t="s">
        <v>50</v>
      </c>
      <c r="AO57" t="s">
        <v>483</v>
      </c>
      <c r="AP57" t="s">
        <v>492</v>
      </c>
      <c r="AQ57" t="s">
        <v>486</v>
      </c>
      <c r="AR57" t="s">
        <v>673</v>
      </c>
      <c r="AS57">
        <v>3203600</v>
      </c>
      <c r="AT57" t="s">
        <v>981</v>
      </c>
      <c r="AU57">
        <v>2</v>
      </c>
    </row>
    <row r="58" spans="1:47" x14ac:dyDescent="0.3">
      <c r="A58" t="s">
        <v>674</v>
      </c>
      <c r="B58" t="s">
        <v>675</v>
      </c>
      <c r="C58" t="s">
        <v>477</v>
      </c>
      <c r="D58" t="s">
        <v>478</v>
      </c>
      <c r="E58" t="s">
        <v>558</v>
      </c>
      <c r="F58" t="s">
        <v>270</v>
      </c>
      <c r="G58">
        <v>1</v>
      </c>
      <c r="H58">
        <v>10</v>
      </c>
      <c r="I58" t="s">
        <v>47</v>
      </c>
      <c r="K58" t="s">
        <v>64</v>
      </c>
      <c r="L58" t="s">
        <v>48</v>
      </c>
      <c r="M58" t="s">
        <v>271</v>
      </c>
      <c r="N58">
        <v>2858800</v>
      </c>
      <c r="O58" t="s">
        <v>481</v>
      </c>
      <c r="Q58" t="s">
        <v>676</v>
      </c>
      <c r="R58" t="s">
        <v>483</v>
      </c>
      <c r="T58">
        <v>0</v>
      </c>
      <c r="U58">
        <v>0</v>
      </c>
      <c r="V58">
        <v>2858800</v>
      </c>
      <c r="W58" t="s">
        <v>481</v>
      </c>
      <c r="X58" t="s">
        <v>676</v>
      </c>
      <c r="Y58" t="s">
        <v>483</v>
      </c>
      <c r="Z58" t="s">
        <v>50</v>
      </c>
      <c r="AA58">
        <v>0</v>
      </c>
      <c r="AB58">
        <v>0</v>
      </c>
      <c r="AC58">
        <v>2948800</v>
      </c>
      <c r="AD58" t="s">
        <v>484</v>
      </c>
      <c r="AE58">
        <v>5</v>
      </c>
      <c r="AF58">
        <v>0</v>
      </c>
      <c r="AG58" t="s">
        <v>53</v>
      </c>
      <c r="AH58" t="s">
        <v>72</v>
      </c>
      <c r="AI58" t="s">
        <v>73</v>
      </c>
      <c r="AJ58" t="s">
        <v>74</v>
      </c>
      <c r="AK58" t="s">
        <v>485</v>
      </c>
      <c r="AL58">
        <v>3</v>
      </c>
      <c r="AM58">
        <v>0</v>
      </c>
      <c r="AN58" t="s">
        <v>50</v>
      </c>
      <c r="AO58" t="s">
        <v>483</v>
      </c>
      <c r="AP58" t="s">
        <v>481</v>
      </c>
      <c r="AR58" t="s">
        <v>676</v>
      </c>
      <c r="AS58">
        <v>2858800</v>
      </c>
      <c r="AT58" t="s">
        <v>83</v>
      </c>
      <c r="AU58">
        <v>2</v>
      </c>
    </row>
    <row r="59" spans="1:47" x14ac:dyDescent="0.3">
      <c r="A59" t="s">
        <v>677</v>
      </c>
      <c r="B59" t="s">
        <v>678</v>
      </c>
      <c r="C59" t="s">
        <v>489</v>
      </c>
      <c r="D59" t="s">
        <v>490</v>
      </c>
      <c r="E59" t="s">
        <v>221</v>
      </c>
      <c r="F59" t="s">
        <v>270</v>
      </c>
      <c r="G59">
        <v>1</v>
      </c>
      <c r="H59">
        <v>10</v>
      </c>
      <c r="I59" t="s">
        <v>47</v>
      </c>
      <c r="K59" t="s">
        <v>64</v>
      </c>
      <c r="L59" t="s">
        <v>48</v>
      </c>
      <c r="M59" t="s">
        <v>271</v>
      </c>
      <c r="N59">
        <v>3203600</v>
      </c>
      <c r="O59" t="s">
        <v>492</v>
      </c>
      <c r="Q59" t="s">
        <v>679</v>
      </c>
      <c r="R59" t="s">
        <v>483</v>
      </c>
      <c r="S59" t="s">
        <v>50</v>
      </c>
      <c r="T59">
        <v>0</v>
      </c>
      <c r="U59">
        <v>0</v>
      </c>
      <c r="V59">
        <v>3203600</v>
      </c>
      <c r="W59" t="s">
        <v>492</v>
      </c>
      <c r="X59" t="s">
        <v>679</v>
      </c>
      <c r="Y59" t="s">
        <v>483</v>
      </c>
      <c r="Z59" t="s">
        <v>50</v>
      </c>
      <c r="AA59">
        <v>0</v>
      </c>
      <c r="AB59">
        <v>0</v>
      </c>
      <c r="AC59">
        <v>3304400</v>
      </c>
      <c r="AD59" t="s">
        <v>494</v>
      </c>
      <c r="AE59">
        <v>2</v>
      </c>
      <c r="AF59">
        <v>0</v>
      </c>
      <c r="AG59" t="s">
        <v>53</v>
      </c>
      <c r="AH59" t="s">
        <v>72</v>
      </c>
      <c r="AI59" t="s">
        <v>73</v>
      </c>
      <c r="AJ59" t="s">
        <v>74</v>
      </c>
      <c r="AK59" t="s">
        <v>485</v>
      </c>
      <c r="AL59">
        <v>0</v>
      </c>
      <c r="AM59">
        <v>0</v>
      </c>
      <c r="AN59" t="s">
        <v>50</v>
      </c>
      <c r="AO59" t="s">
        <v>483</v>
      </c>
      <c r="AP59" t="s">
        <v>492</v>
      </c>
      <c r="AQ59" t="s">
        <v>486</v>
      </c>
      <c r="AR59" t="s">
        <v>679</v>
      </c>
      <c r="AS59">
        <v>3203600</v>
      </c>
      <c r="AT59" t="s">
        <v>981</v>
      </c>
      <c r="AU59">
        <v>2</v>
      </c>
    </row>
    <row r="60" spans="1:47" x14ac:dyDescent="0.3">
      <c r="A60" t="s">
        <v>680</v>
      </c>
      <c r="B60" t="s">
        <v>681</v>
      </c>
      <c r="C60" t="s">
        <v>489</v>
      </c>
      <c r="D60" t="s">
        <v>490</v>
      </c>
      <c r="E60" t="s">
        <v>497</v>
      </c>
      <c r="F60" t="s">
        <v>270</v>
      </c>
      <c r="G60">
        <v>1</v>
      </c>
      <c r="H60">
        <v>10</v>
      </c>
      <c r="I60" t="s">
        <v>47</v>
      </c>
      <c r="K60" t="s">
        <v>64</v>
      </c>
      <c r="L60" t="s">
        <v>48</v>
      </c>
      <c r="M60" t="s">
        <v>271</v>
      </c>
      <c r="N60">
        <v>3203600</v>
      </c>
      <c r="O60" t="s">
        <v>492</v>
      </c>
      <c r="Q60" t="s">
        <v>682</v>
      </c>
      <c r="R60" t="s">
        <v>483</v>
      </c>
      <c r="T60">
        <v>0</v>
      </c>
      <c r="U60">
        <v>0</v>
      </c>
      <c r="V60">
        <v>3203600</v>
      </c>
      <c r="W60" t="s">
        <v>492</v>
      </c>
      <c r="X60" t="s">
        <v>682</v>
      </c>
      <c r="Y60" t="s">
        <v>483</v>
      </c>
      <c r="Z60" t="s">
        <v>50</v>
      </c>
      <c r="AA60">
        <v>0</v>
      </c>
      <c r="AB60">
        <v>0</v>
      </c>
      <c r="AC60">
        <v>3304400</v>
      </c>
      <c r="AD60" t="s">
        <v>494</v>
      </c>
      <c r="AE60">
        <v>2</v>
      </c>
      <c r="AF60">
        <v>0</v>
      </c>
      <c r="AG60" t="s">
        <v>53</v>
      </c>
      <c r="AH60" t="s">
        <v>72</v>
      </c>
      <c r="AI60" t="s">
        <v>73</v>
      </c>
      <c r="AJ60" t="s">
        <v>74</v>
      </c>
      <c r="AK60" t="s">
        <v>485</v>
      </c>
      <c r="AL60">
        <v>0</v>
      </c>
      <c r="AM60">
        <v>0</v>
      </c>
      <c r="AN60" t="s">
        <v>50</v>
      </c>
      <c r="AO60" t="s">
        <v>483</v>
      </c>
      <c r="AP60" t="s">
        <v>492</v>
      </c>
      <c r="AR60" t="s">
        <v>682</v>
      </c>
      <c r="AS60">
        <v>3203600</v>
      </c>
      <c r="AT60" t="s">
        <v>980</v>
      </c>
      <c r="AU60">
        <v>2</v>
      </c>
    </row>
    <row r="61" spans="1:47" x14ac:dyDescent="0.3">
      <c r="A61" t="s">
        <v>683</v>
      </c>
      <c r="B61" t="s">
        <v>684</v>
      </c>
      <c r="C61" t="s">
        <v>516</v>
      </c>
      <c r="D61" t="s">
        <v>517</v>
      </c>
      <c r="E61" t="s">
        <v>62</v>
      </c>
      <c r="F61" t="s">
        <v>270</v>
      </c>
      <c r="G61">
        <v>1</v>
      </c>
      <c r="H61">
        <v>10</v>
      </c>
      <c r="I61" t="s">
        <v>47</v>
      </c>
      <c r="K61" t="s">
        <v>64</v>
      </c>
      <c r="L61" t="s">
        <v>48</v>
      </c>
      <c r="M61" t="s">
        <v>271</v>
      </c>
      <c r="N61">
        <v>3480300</v>
      </c>
      <c r="O61" t="s">
        <v>518</v>
      </c>
      <c r="Q61" t="s">
        <v>685</v>
      </c>
      <c r="R61" t="s">
        <v>483</v>
      </c>
      <c r="S61" t="s">
        <v>50</v>
      </c>
      <c r="T61">
        <v>0</v>
      </c>
      <c r="U61">
        <v>0</v>
      </c>
      <c r="V61">
        <v>3480300</v>
      </c>
      <c r="W61" t="s">
        <v>518</v>
      </c>
      <c r="X61" t="s">
        <v>685</v>
      </c>
      <c r="Y61" t="s">
        <v>483</v>
      </c>
      <c r="Z61" t="s">
        <v>50</v>
      </c>
      <c r="AA61">
        <v>0</v>
      </c>
      <c r="AB61">
        <v>0</v>
      </c>
      <c r="AC61">
        <v>3589900</v>
      </c>
      <c r="AD61" t="s">
        <v>520</v>
      </c>
      <c r="AE61">
        <v>2</v>
      </c>
      <c r="AF61">
        <v>0</v>
      </c>
      <c r="AG61" t="s">
        <v>53</v>
      </c>
      <c r="AH61" t="s">
        <v>72</v>
      </c>
      <c r="AI61" t="s">
        <v>73</v>
      </c>
      <c r="AJ61" t="s">
        <v>74</v>
      </c>
      <c r="AK61" t="s">
        <v>485</v>
      </c>
      <c r="AL61">
        <v>0</v>
      </c>
      <c r="AM61">
        <v>0</v>
      </c>
      <c r="AN61" t="s">
        <v>50</v>
      </c>
      <c r="AO61" t="s">
        <v>483</v>
      </c>
      <c r="AP61" t="s">
        <v>518</v>
      </c>
      <c r="AQ61" t="s">
        <v>486</v>
      </c>
      <c r="AR61" t="s">
        <v>685</v>
      </c>
      <c r="AS61">
        <v>3480300</v>
      </c>
      <c r="AT61" t="s">
        <v>83</v>
      </c>
      <c r="AU61">
        <v>2</v>
      </c>
    </row>
    <row r="62" spans="1:47" x14ac:dyDescent="0.3">
      <c r="A62" t="s">
        <v>686</v>
      </c>
      <c r="B62" t="s">
        <v>687</v>
      </c>
      <c r="C62" t="s">
        <v>489</v>
      </c>
      <c r="D62" t="s">
        <v>490</v>
      </c>
      <c r="E62" t="s">
        <v>80</v>
      </c>
      <c r="F62" t="s">
        <v>688</v>
      </c>
      <c r="G62">
        <v>1</v>
      </c>
      <c r="H62">
        <v>10</v>
      </c>
      <c r="I62" t="s">
        <v>47</v>
      </c>
      <c r="K62" t="s">
        <v>64</v>
      </c>
      <c r="L62" t="s">
        <v>81</v>
      </c>
      <c r="M62" t="s">
        <v>689</v>
      </c>
      <c r="N62">
        <v>3203600</v>
      </c>
      <c r="O62" t="s">
        <v>492</v>
      </c>
      <c r="Q62" t="s">
        <v>690</v>
      </c>
      <c r="R62" t="s">
        <v>483</v>
      </c>
      <c r="S62" t="s">
        <v>50</v>
      </c>
      <c r="T62">
        <v>0</v>
      </c>
      <c r="U62">
        <v>0</v>
      </c>
      <c r="V62">
        <v>3203600</v>
      </c>
      <c r="W62" t="s">
        <v>492</v>
      </c>
      <c r="X62" t="s">
        <v>690</v>
      </c>
      <c r="Y62" t="s">
        <v>483</v>
      </c>
      <c r="Z62" t="s">
        <v>50</v>
      </c>
      <c r="AA62">
        <v>0</v>
      </c>
      <c r="AB62">
        <v>0</v>
      </c>
      <c r="AC62">
        <v>3304400</v>
      </c>
      <c r="AD62" t="s">
        <v>494</v>
      </c>
      <c r="AE62">
        <v>2</v>
      </c>
      <c r="AF62">
        <v>0</v>
      </c>
      <c r="AG62" t="s">
        <v>53</v>
      </c>
      <c r="AH62" t="s">
        <v>72</v>
      </c>
      <c r="AI62" t="s">
        <v>73</v>
      </c>
      <c r="AJ62" t="s">
        <v>74</v>
      </c>
      <c r="AK62" t="s">
        <v>485</v>
      </c>
      <c r="AL62">
        <v>0</v>
      </c>
      <c r="AM62">
        <v>0</v>
      </c>
      <c r="AN62" t="s">
        <v>50</v>
      </c>
      <c r="AO62" t="s">
        <v>483</v>
      </c>
      <c r="AP62" t="s">
        <v>492</v>
      </c>
      <c r="AQ62" t="s">
        <v>486</v>
      </c>
      <c r="AR62" t="s">
        <v>690</v>
      </c>
      <c r="AS62">
        <v>3203600</v>
      </c>
      <c r="AT62" t="s">
        <v>83</v>
      </c>
      <c r="AU62">
        <v>2</v>
      </c>
    </row>
    <row r="63" spans="1:47" x14ac:dyDescent="0.3">
      <c r="A63" t="s">
        <v>691</v>
      </c>
      <c r="B63" t="s">
        <v>692</v>
      </c>
      <c r="C63" t="s">
        <v>516</v>
      </c>
      <c r="D63" t="s">
        <v>517</v>
      </c>
      <c r="E63" t="s">
        <v>62</v>
      </c>
      <c r="F63" t="s">
        <v>297</v>
      </c>
      <c r="G63">
        <v>1</v>
      </c>
      <c r="H63">
        <v>10</v>
      </c>
      <c r="I63" t="s">
        <v>47</v>
      </c>
      <c r="K63" t="s">
        <v>64</v>
      </c>
      <c r="L63" t="s">
        <v>48</v>
      </c>
      <c r="M63" t="s">
        <v>298</v>
      </c>
      <c r="N63">
        <v>3480300</v>
      </c>
      <c r="O63" t="s">
        <v>518</v>
      </c>
      <c r="Q63" t="s">
        <v>693</v>
      </c>
      <c r="R63" t="s">
        <v>483</v>
      </c>
      <c r="S63" t="s">
        <v>50</v>
      </c>
      <c r="T63">
        <v>0</v>
      </c>
      <c r="U63">
        <v>0</v>
      </c>
      <c r="V63">
        <v>3480300</v>
      </c>
      <c r="W63" t="s">
        <v>518</v>
      </c>
      <c r="X63" t="s">
        <v>693</v>
      </c>
      <c r="Y63" t="s">
        <v>483</v>
      </c>
      <c r="Z63" t="s">
        <v>50</v>
      </c>
      <c r="AA63">
        <v>0</v>
      </c>
      <c r="AB63">
        <v>0</v>
      </c>
      <c r="AC63">
        <v>3589900</v>
      </c>
      <c r="AD63" t="s">
        <v>520</v>
      </c>
      <c r="AE63">
        <v>2</v>
      </c>
      <c r="AF63">
        <v>0</v>
      </c>
      <c r="AG63" t="s">
        <v>53</v>
      </c>
      <c r="AH63" t="s">
        <v>72</v>
      </c>
      <c r="AI63" t="s">
        <v>73</v>
      </c>
      <c r="AJ63" t="s">
        <v>74</v>
      </c>
      <c r="AK63" t="s">
        <v>485</v>
      </c>
      <c r="AL63">
        <v>0</v>
      </c>
      <c r="AM63">
        <v>0</v>
      </c>
      <c r="AN63" t="s">
        <v>50</v>
      </c>
      <c r="AO63" t="s">
        <v>483</v>
      </c>
      <c r="AP63" t="s">
        <v>518</v>
      </c>
      <c r="AQ63" t="s">
        <v>486</v>
      </c>
      <c r="AR63" t="s">
        <v>693</v>
      </c>
      <c r="AS63">
        <v>3480300</v>
      </c>
      <c r="AT63" t="s">
        <v>83</v>
      </c>
      <c r="AU63">
        <v>2</v>
      </c>
    </row>
    <row r="64" spans="1:47" x14ac:dyDescent="0.3">
      <c r="A64" t="s">
        <v>694</v>
      </c>
      <c r="B64" t="s">
        <v>695</v>
      </c>
      <c r="C64" t="s">
        <v>516</v>
      </c>
      <c r="D64" t="s">
        <v>517</v>
      </c>
      <c r="E64" t="s">
        <v>62</v>
      </c>
      <c r="F64" t="s">
        <v>297</v>
      </c>
      <c r="G64">
        <v>1</v>
      </c>
      <c r="H64">
        <v>10</v>
      </c>
      <c r="I64" t="s">
        <v>47</v>
      </c>
      <c r="K64" t="s">
        <v>64</v>
      </c>
      <c r="L64" t="s">
        <v>81</v>
      </c>
      <c r="M64" t="s">
        <v>298</v>
      </c>
      <c r="N64">
        <v>3480300</v>
      </c>
      <c r="O64" t="s">
        <v>518</v>
      </c>
      <c r="Q64" t="s">
        <v>696</v>
      </c>
      <c r="R64" t="s">
        <v>483</v>
      </c>
      <c r="S64" t="s">
        <v>50</v>
      </c>
      <c r="T64">
        <v>0</v>
      </c>
      <c r="U64">
        <v>0</v>
      </c>
      <c r="V64">
        <v>3480300</v>
      </c>
      <c r="W64" t="s">
        <v>518</v>
      </c>
      <c r="X64" t="s">
        <v>696</v>
      </c>
      <c r="Y64" t="s">
        <v>483</v>
      </c>
      <c r="Z64" t="s">
        <v>50</v>
      </c>
      <c r="AA64">
        <v>0</v>
      </c>
      <c r="AB64">
        <v>0</v>
      </c>
      <c r="AC64">
        <v>3589900</v>
      </c>
      <c r="AD64" t="s">
        <v>520</v>
      </c>
      <c r="AE64">
        <v>2</v>
      </c>
      <c r="AF64">
        <v>0</v>
      </c>
      <c r="AG64" t="s">
        <v>53</v>
      </c>
      <c r="AH64" t="s">
        <v>72</v>
      </c>
      <c r="AI64" t="s">
        <v>73</v>
      </c>
      <c r="AJ64" t="s">
        <v>74</v>
      </c>
      <c r="AK64" t="s">
        <v>485</v>
      </c>
      <c r="AL64">
        <v>0</v>
      </c>
      <c r="AM64">
        <v>0</v>
      </c>
      <c r="AN64" t="s">
        <v>50</v>
      </c>
      <c r="AO64" t="s">
        <v>483</v>
      </c>
      <c r="AP64" t="s">
        <v>518</v>
      </c>
      <c r="AQ64" t="s">
        <v>486</v>
      </c>
      <c r="AR64" t="s">
        <v>696</v>
      </c>
      <c r="AS64">
        <v>3480300</v>
      </c>
      <c r="AT64" t="s">
        <v>83</v>
      </c>
      <c r="AU64">
        <v>2</v>
      </c>
    </row>
    <row r="65" spans="1:47" x14ac:dyDescent="0.3">
      <c r="A65" t="s">
        <v>697</v>
      </c>
      <c r="B65" t="s">
        <v>698</v>
      </c>
      <c r="C65" t="s">
        <v>516</v>
      </c>
      <c r="D65" t="s">
        <v>517</v>
      </c>
      <c r="E65" t="s">
        <v>62</v>
      </c>
      <c r="F65" t="s">
        <v>297</v>
      </c>
      <c r="G65">
        <v>1</v>
      </c>
      <c r="H65">
        <v>10</v>
      </c>
      <c r="I65" t="s">
        <v>47</v>
      </c>
      <c r="K65" t="s">
        <v>64</v>
      </c>
      <c r="L65" t="s">
        <v>48</v>
      </c>
      <c r="M65" t="s">
        <v>298</v>
      </c>
      <c r="N65">
        <v>3480300</v>
      </c>
      <c r="O65" t="s">
        <v>518</v>
      </c>
      <c r="Q65" t="s">
        <v>699</v>
      </c>
      <c r="R65" t="s">
        <v>483</v>
      </c>
      <c r="S65" t="s">
        <v>50</v>
      </c>
      <c r="T65">
        <v>0</v>
      </c>
      <c r="U65">
        <v>0</v>
      </c>
      <c r="V65">
        <v>3480300</v>
      </c>
      <c r="W65" t="s">
        <v>518</v>
      </c>
      <c r="X65" t="s">
        <v>699</v>
      </c>
      <c r="Y65" t="s">
        <v>483</v>
      </c>
      <c r="Z65" t="s">
        <v>50</v>
      </c>
      <c r="AA65">
        <v>0</v>
      </c>
      <c r="AB65">
        <v>0</v>
      </c>
      <c r="AC65">
        <v>3589900</v>
      </c>
      <c r="AD65" t="s">
        <v>520</v>
      </c>
      <c r="AE65">
        <v>2</v>
      </c>
      <c r="AF65">
        <v>0</v>
      </c>
      <c r="AG65" t="s">
        <v>53</v>
      </c>
      <c r="AH65" t="s">
        <v>72</v>
      </c>
      <c r="AI65" t="s">
        <v>73</v>
      </c>
      <c r="AJ65" t="s">
        <v>74</v>
      </c>
      <c r="AK65" t="s">
        <v>485</v>
      </c>
      <c r="AL65">
        <v>0</v>
      </c>
      <c r="AM65">
        <v>0</v>
      </c>
      <c r="AN65" t="s">
        <v>50</v>
      </c>
      <c r="AO65" t="s">
        <v>483</v>
      </c>
      <c r="AP65" t="s">
        <v>518</v>
      </c>
      <c r="AQ65" t="s">
        <v>486</v>
      </c>
      <c r="AR65" t="s">
        <v>699</v>
      </c>
      <c r="AS65">
        <v>3480300</v>
      </c>
      <c r="AT65" t="s">
        <v>83</v>
      </c>
      <c r="AU65">
        <v>2</v>
      </c>
    </row>
    <row r="66" spans="1:47" x14ac:dyDescent="0.3">
      <c r="A66" s="8" t="s">
        <v>700</v>
      </c>
      <c r="B66" t="s">
        <v>701</v>
      </c>
      <c r="C66" t="s">
        <v>489</v>
      </c>
      <c r="D66" t="s">
        <v>490</v>
      </c>
      <c r="E66" t="s">
        <v>93</v>
      </c>
      <c r="F66" t="s">
        <v>297</v>
      </c>
      <c r="G66">
        <v>1</v>
      </c>
      <c r="H66">
        <v>10</v>
      </c>
      <c r="I66" t="s">
        <v>47</v>
      </c>
      <c r="K66" t="s">
        <v>64</v>
      </c>
      <c r="L66" t="s">
        <v>48</v>
      </c>
      <c r="M66" t="s">
        <v>298</v>
      </c>
      <c r="N66">
        <v>3203600</v>
      </c>
      <c r="O66" t="s">
        <v>492</v>
      </c>
      <c r="Q66" t="s">
        <v>702</v>
      </c>
      <c r="R66" t="s">
        <v>483</v>
      </c>
      <c r="T66">
        <v>0</v>
      </c>
      <c r="U66">
        <v>0</v>
      </c>
      <c r="V66">
        <v>3203600</v>
      </c>
      <c r="W66" t="s">
        <v>492</v>
      </c>
      <c r="X66" t="s">
        <v>702</v>
      </c>
      <c r="Y66" t="s">
        <v>483</v>
      </c>
      <c r="Z66" t="s">
        <v>50</v>
      </c>
      <c r="AA66">
        <v>0</v>
      </c>
      <c r="AB66">
        <v>0</v>
      </c>
      <c r="AC66">
        <v>3304400</v>
      </c>
      <c r="AD66" t="s">
        <v>494</v>
      </c>
      <c r="AE66">
        <v>2</v>
      </c>
      <c r="AF66">
        <v>0</v>
      </c>
      <c r="AG66" t="s">
        <v>53</v>
      </c>
      <c r="AH66" t="s">
        <v>72</v>
      </c>
      <c r="AI66" t="s">
        <v>73</v>
      </c>
      <c r="AJ66" t="s">
        <v>74</v>
      </c>
      <c r="AK66" t="s">
        <v>485</v>
      </c>
      <c r="AL66">
        <v>0</v>
      </c>
      <c r="AM66">
        <v>0</v>
      </c>
      <c r="AN66" t="s">
        <v>50</v>
      </c>
      <c r="AO66" t="s">
        <v>483</v>
      </c>
      <c r="AP66" t="s">
        <v>492</v>
      </c>
      <c r="AR66" s="7"/>
      <c r="AS66">
        <v>3203600</v>
      </c>
      <c r="AT66" s="7"/>
      <c r="AU66">
        <v>2</v>
      </c>
    </row>
    <row r="67" spans="1:47" x14ac:dyDescent="0.3">
      <c r="A67" t="s">
        <v>703</v>
      </c>
      <c r="B67" t="s">
        <v>704</v>
      </c>
      <c r="C67" t="s">
        <v>489</v>
      </c>
      <c r="D67" t="s">
        <v>490</v>
      </c>
      <c r="E67" t="s">
        <v>80</v>
      </c>
      <c r="F67" t="s">
        <v>297</v>
      </c>
      <c r="G67">
        <v>1</v>
      </c>
      <c r="H67">
        <v>10</v>
      </c>
      <c r="I67" t="s">
        <v>47</v>
      </c>
      <c r="K67" t="s">
        <v>64</v>
      </c>
      <c r="L67" t="s">
        <v>48</v>
      </c>
      <c r="M67" t="s">
        <v>298</v>
      </c>
      <c r="N67">
        <v>3203600</v>
      </c>
      <c r="O67" t="s">
        <v>492</v>
      </c>
      <c r="Q67" t="s">
        <v>705</v>
      </c>
      <c r="R67" t="s">
        <v>483</v>
      </c>
      <c r="S67" t="s">
        <v>50</v>
      </c>
      <c r="T67">
        <v>0</v>
      </c>
      <c r="U67">
        <v>0</v>
      </c>
      <c r="V67">
        <v>3203600</v>
      </c>
      <c r="W67" t="s">
        <v>492</v>
      </c>
      <c r="X67" t="s">
        <v>705</v>
      </c>
      <c r="Y67" t="s">
        <v>483</v>
      </c>
      <c r="Z67" t="s">
        <v>50</v>
      </c>
      <c r="AA67">
        <v>0</v>
      </c>
      <c r="AB67">
        <v>0</v>
      </c>
      <c r="AC67">
        <v>3304400</v>
      </c>
      <c r="AD67" t="s">
        <v>494</v>
      </c>
      <c r="AE67">
        <v>2</v>
      </c>
      <c r="AF67">
        <v>0</v>
      </c>
      <c r="AG67" t="s">
        <v>53</v>
      </c>
      <c r="AH67" t="s">
        <v>72</v>
      </c>
      <c r="AI67" t="s">
        <v>73</v>
      </c>
      <c r="AJ67" t="s">
        <v>74</v>
      </c>
      <c r="AK67" t="s">
        <v>485</v>
      </c>
      <c r="AL67">
        <v>0</v>
      </c>
      <c r="AM67">
        <v>0</v>
      </c>
      <c r="AN67" t="s">
        <v>50</v>
      </c>
      <c r="AO67" t="s">
        <v>483</v>
      </c>
      <c r="AP67" t="s">
        <v>492</v>
      </c>
      <c r="AQ67" t="s">
        <v>486</v>
      </c>
      <c r="AR67" t="s">
        <v>705</v>
      </c>
      <c r="AS67">
        <v>3203600</v>
      </c>
      <c r="AT67" t="s">
        <v>83</v>
      </c>
      <c r="AU67">
        <v>2</v>
      </c>
    </row>
    <row r="68" spans="1:47" x14ac:dyDescent="0.3">
      <c r="A68" t="s">
        <v>706</v>
      </c>
      <c r="B68" t="s">
        <v>707</v>
      </c>
      <c r="C68" t="s">
        <v>489</v>
      </c>
      <c r="D68" t="s">
        <v>490</v>
      </c>
      <c r="E68" t="s">
        <v>509</v>
      </c>
      <c r="F68" t="s">
        <v>297</v>
      </c>
      <c r="G68">
        <v>1</v>
      </c>
      <c r="H68">
        <v>10</v>
      </c>
      <c r="I68" t="s">
        <v>47</v>
      </c>
      <c r="K68" t="s">
        <v>64</v>
      </c>
      <c r="L68" t="s">
        <v>48</v>
      </c>
      <c r="M68" t="s">
        <v>298</v>
      </c>
      <c r="N68">
        <v>3203600</v>
      </c>
      <c r="O68" t="s">
        <v>492</v>
      </c>
      <c r="Q68" t="s">
        <v>708</v>
      </c>
      <c r="R68" t="s">
        <v>483</v>
      </c>
      <c r="T68">
        <v>0</v>
      </c>
      <c r="U68">
        <v>0</v>
      </c>
      <c r="V68">
        <v>3203600</v>
      </c>
      <c r="W68" t="s">
        <v>492</v>
      </c>
      <c r="X68" t="s">
        <v>708</v>
      </c>
      <c r="Y68" t="s">
        <v>483</v>
      </c>
      <c r="Z68" t="s">
        <v>50</v>
      </c>
      <c r="AA68">
        <v>0</v>
      </c>
      <c r="AB68">
        <v>0</v>
      </c>
      <c r="AC68">
        <v>3304400</v>
      </c>
      <c r="AD68" t="s">
        <v>494</v>
      </c>
      <c r="AE68">
        <v>2</v>
      </c>
      <c r="AF68">
        <v>0</v>
      </c>
      <c r="AG68" t="s">
        <v>53</v>
      </c>
      <c r="AH68" t="s">
        <v>72</v>
      </c>
      <c r="AI68" t="s">
        <v>73</v>
      </c>
      <c r="AJ68" t="s">
        <v>74</v>
      </c>
      <c r="AK68" t="s">
        <v>485</v>
      </c>
      <c r="AL68">
        <v>0</v>
      </c>
      <c r="AM68">
        <v>0</v>
      </c>
      <c r="AN68" t="s">
        <v>50</v>
      </c>
      <c r="AO68" t="s">
        <v>483</v>
      </c>
      <c r="AP68" t="s">
        <v>492</v>
      </c>
      <c r="AR68" t="s">
        <v>708</v>
      </c>
      <c r="AS68">
        <v>3203600</v>
      </c>
      <c r="AT68" t="s">
        <v>982</v>
      </c>
      <c r="AU68">
        <v>2</v>
      </c>
    </row>
    <row r="69" spans="1:47" x14ac:dyDescent="0.3">
      <c r="A69" t="s">
        <v>709</v>
      </c>
      <c r="B69" t="s">
        <v>710</v>
      </c>
      <c r="C69" t="s">
        <v>516</v>
      </c>
      <c r="D69" t="s">
        <v>517</v>
      </c>
      <c r="E69" t="s">
        <v>62</v>
      </c>
      <c r="F69" t="s">
        <v>297</v>
      </c>
      <c r="G69">
        <v>1</v>
      </c>
      <c r="H69">
        <v>10</v>
      </c>
      <c r="I69" t="s">
        <v>47</v>
      </c>
      <c r="K69" t="s">
        <v>64</v>
      </c>
      <c r="L69" t="s">
        <v>48</v>
      </c>
      <c r="M69" t="s">
        <v>298</v>
      </c>
      <c r="N69">
        <v>3480300</v>
      </c>
      <c r="O69" t="s">
        <v>518</v>
      </c>
      <c r="Q69" t="s">
        <v>711</v>
      </c>
      <c r="R69" t="s">
        <v>483</v>
      </c>
      <c r="S69" t="s">
        <v>50</v>
      </c>
      <c r="T69">
        <v>0</v>
      </c>
      <c r="U69">
        <v>0</v>
      </c>
      <c r="V69">
        <v>3480300</v>
      </c>
      <c r="W69" t="s">
        <v>518</v>
      </c>
      <c r="X69" t="s">
        <v>711</v>
      </c>
      <c r="Y69" t="s">
        <v>483</v>
      </c>
      <c r="Z69" t="s">
        <v>50</v>
      </c>
      <c r="AA69">
        <v>0</v>
      </c>
      <c r="AB69">
        <v>0</v>
      </c>
      <c r="AC69">
        <v>3589900</v>
      </c>
      <c r="AD69" t="s">
        <v>520</v>
      </c>
      <c r="AE69">
        <v>2</v>
      </c>
      <c r="AF69">
        <v>0</v>
      </c>
      <c r="AG69" t="s">
        <v>53</v>
      </c>
      <c r="AH69" t="s">
        <v>72</v>
      </c>
      <c r="AI69" t="s">
        <v>73</v>
      </c>
      <c r="AJ69" t="s">
        <v>74</v>
      </c>
      <c r="AK69" t="s">
        <v>485</v>
      </c>
      <c r="AL69">
        <v>0</v>
      </c>
      <c r="AM69">
        <v>0</v>
      </c>
      <c r="AN69" t="s">
        <v>50</v>
      </c>
      <c r="AO69" t="s">
        <v>483</v>
      </c>
      <c r="AP69" t="s">
        <v>518</v>
      </c>
      <c r="AQ69" t="s">
        <v>486</v>
      </c>
      <c r="AR69" t="s">
        <v>711</v>
      </c>
      <c r="AS69">
        <v>3480300</v>
      </c>
      <c r="AT69" t="s">
        <v>83</v>
      </c>
      <c r="AU69">
        <v>2</v>
      </c>
    </row>
    <row r="70" spans="1:47" x14ac:dyDescent="0.3">
      <c r="A70" t="s">
        <v>712</v>
      </c>
      <c r="B70" t="s">
        <v>713</v>
      </c>
      <c r="C70" t="s">
        <v>489</v>
      </c>
      <c r="D70" t="s">
        <v>490</v>
      </c>
      <c r="E70" t="s">
        <v>80</v>
      </c>
      <c r="F70" t="s">
        <v>297</v>
      </c>
      <c r="G70">
        <v>1</v>
      </c>
      <c r="H70">
        <v>10</v>
      </c>
      <c r="I70" t="s">
        <v>47</v>
      </c>
      <c r="K70" t="s">
        <v>64</v>
      </c>
      <c r="L70" t="s">
        <v>48</v>
      </c>
      <c r="M70" t="s">
        <v>298</v>
      </c>
      <c r="N70">
        <v>3203600</v>
      </c>
      <c r="O70" t="s">
        <v>492</v>
      </c>
      <c r="Q70" t="s">
        <v>714</v>
      </c>
      <c r="R70" t="s">
        <v>483</v>
      </c>
      <c r="S70" t="s">
        <v>50</v>
      </c>
      <c r="T70">
        <v>0</v>
      </c>
      <c r="U70">
        <v>0</v>
      </c>
      <c r="V70">
        <v>3203600</v>
      </c>
      <c r="W70" t="s">
        <v>492</v>
      </c>
      <c r="X70" t="s">
        <v>714</v>
      </c>
      <c r="Y70" t="s">
        <v>483</v>
      </c>
      <c r="Z70" t="s">
        <v>50</v>
      </c>
      <c r="AA70">
        <v>0</v>
      </c>
      <c r="AB70">
        <v>0</v>
      </c>
      <c r="AC70">
        <v>3304400</v>
      </c>
      <c r="AD70" t="s">
        <v>494</v>
      </c>
      <c r="AE70">
        <v>2</v>
      </c>
      <c r="AF70">
        <v>0</v>
      </c>
      <c r="AG70" t="s">
        <v>53</v>
      </c>
      <c r="AH70" t="s">
        <v>72</v>
      </c>
      <c r="AI70" t="s">
        <v>73</v>
      </c>
      <c r="AJ70" t="s">
        <v>74</v>
      </c>
      <c r="AK70" t="s">
        <v>485</v>
      </c>
      <c r="AL70">
        <v>0</v>
      </c>
      <c r="AM70">
        <v>0</v>
      </c>
      <c r="AN70" t="s">
        <v>50</v>
      </c>
      <c r="AO70" t="s">
        <v>483</v>
      </c>
      <c r="AP70" t="s">
        <v>492</v>
      </c>
      <c r="AQ70" t="s">
        <v>486</v>
      </c>
      <c r="AR70" t="s">
        <v>714</v>
      </c>
      <c r="AS70">
        <v>3203600</v>
      </c>
      <c r="AT70" t="s">
        <v>83</v>
      </c>
      <c r="AU70">
        <v>2</v>
      </c>
    </row>
    <row r="71" spans="1:47" x14ac:dyDescent="0.3">
      <c r="A71" t="s">
        <v>715</v>
      </c>
      <c r="B71" t="s">
        <v>716</v>
      </c>
      <c r="C71" t="s">
        <v>489</v>
      </c>
      <c r="D71" t="s">
        <v>490</v>
      </c>
      <c r="E71" t="s">
        <v>80</v>
      </c>
      <c r="F71" t="s">
        <v>297</v>
      </c>
      <c r="G71">
        <v>1</v>
      </c>
      <c r="H71">
        <v>10</v>
      </c>
      <c r="I71" t="s">
        <v>47</v>
      </c>
      <c r="K71" t="s">
        <v>64</v>
      </c>
      <c r="L71" t="s">
        <v>81</v>
      </c>
      <c r="M71" t="s">
        <v>298</v>
      </c>
      <c r="N71">
        <v>3203600</v>
      </c>
      <c r="O71" t="s">
        <v>492</v>
      </c>
      <c r="Q71" t="s">
        <v>717</v>
      </c>
      <c r="R71" t="s">
        <v>483</v>
      </c>
      <c r="S71" t="s">
        <v>50</v>
      </c>
      <c r="T71">
        <v>0</v>
      </c>
      <c r="U71">
        <v>0</v>
      </c>
      <c r="V71">
        <v>3203600</v>
      </c>
      <c r="W71" t="s">
        <v>492</v>
      </c>
      <c r="X71" t="s">
        <v>717</v>
      </c>
      <c r="Y71" t="s">
        <v>483</v>
      </c>
      <c r="Z71" t="s">
        <v>50</v>
      </c>
      <c r="AA71">
        <v>0</v>
      </c>
      <c r="AB71">
        <v>0</v>
      </c>
      <c r="AC71">
        <v>3304400</v>
      </c>
      <c r="AD71" t="s">
        <v>494</v>
      </c>
      <c r="AE71">
        <v>2</v>
      </c>
      <c r="AF71">
        <v>0</v>
      </c>
      <c r="AG71" t="s">
        <v>53</v>
      </c>
      <c r="AH71" t="s">
        <v>72</v>
      </c>
      <c r="AI71" t="s">
        <v>73</v>
      </c>
      <c r="AJ71" t="s">
        <v>74</v>
      </c>
      <c r="AK71" t="s">
        <v>485</v>
      </c>
      <c r="AL71">
        <v>0</v>
      </c>
      <c r="AM71">
        <v>0</v>
      </c>
      <c r="AN71" t="s">
        <v>50</v>
      </c>
      <c r="AO71" t="s">
        <v>483</v>
      </c>
      <c r="AP71" t="s">
        <v>492</v>
      </c>
      <c r="AQ71" t="s">
        <v>486</v>
      </c>
      <c r="AR71" t="s">
        <v>717</v>
      </c>
      <c r="AS71">
        <v>3203600</v>
      </c>
      <c r="AT71" t="s">
        <v>83</v>
      </c>
      <c r="AU71">
        <v>2</v>
      </c>
    </row>
    <row r="72" spans="1:47" x14ac:dyDescent="0.3">
      <c r="A72" t="s">
        <v>718</v>
      </c>
      <c r="B72" t="s">
        <v>719</v>
      </c>
      <c r="C72" t="s">
        <v>477</v>
      </c>
      <c r="D72" t="s">
        <v>478</v>
      </c>
      <c r="E72" t="s">
        <v>479</v>
      </c>
      <c r="F72" t="s">
        <v>46</v>
      </c>
      <c r="G72">
        <v>1</v>
      </c>
      <c r="H72">
        <v>10</v>
      </c>
      <c r="I72" t="s">
        <v>47</v>
      </c>
      <c r="K72" t="s">
        <v>64</v>
      </c>
      <c r="L72" t="s">
        <v>81</v>
      </c>
      <c r="M72" t="s">
        <v>49</v>
      </c>
      <c r="N72">
        <v>2858800</v>
      </c>
      <c r="O72" t="s">
        <v>481</v>
      </c>
      <c r="Q72" t="s">
        <v>720</v>
      </c>
      <c r="R72" t="s">
        <v>483</v>
      </c>
      <c r="S72" t="s">
        <v>50</v>
      </c>
      <c r="T72">
        <v>0</v>
      </c>
      <c r="U72">
        <v>0</v>
      </c>
      <c r="V72">
        <v>2858800</v>
      </c>
      <c r="W72" t="s">
        <v>481</v>
      </c>
      <c r="X72" t="s">
        <v>720</v>
      </c>
      <c r="Y72" t="s">
        <v>483</v>
      </c>
      <c r="Z72" t="s">
        <v>50</v>
      </c>
      <c r="AA72">
        <v>0</v>
      </c>
      <c r="AB72">
        <v>0</v>
      </c>
      <c r="AC72">
        <v>2948800</v>
      </c>
      <c r="AD72" t="s">
        <v>484</v>
      </c>
      <c r="AE72">
        <v>5</v>
      </c>
      <c r="AF72">
        <v>0</v>
      </c>
      <c r="AG72" t="s">
        <v>53</v>
      </c>
      <c r="AH72" t="s">
        <v>72</v>
      </c>
      <c r="AI72" t="s">
        <v>73</v>
      </c>
      <c r="AJ72" t="s">
        <v>74</v>
      </c>
      <c r="AK72" t="s">
        <v>485</v>
      </c>
      <c r="AL72">
        <v>3</v>
      </c>
      <c r="AM72">
        <v>0</v>
      </c>
      <c r="AN72" t="s">
        <v>50</v>
      </c>
      <c r="AO72" t="s">
        <v>483</v>
      </c>
      <c r="AP72" t="s">
        <v>481</v>
      </c>
      <c r="AQ72" t="s">
        <v>486</v>
      </c>
      <c r="AR72" t="s">
        <v>720</v>
      </c>
      <c r="AS72">
        <v>2858800</v>
      </c>
      <c r="AT72" t="s">
        <v>984</v>
      </c>
      <c r="AU72">
        <v>2</v>
      </c>
    </row>
    <row r="73" spans="1:47" x14ac:dyDescent="0.3">
      <c r="A73" t="s">
        <v>721</v>
      </c>
      <c r="B73" t="s">
        <v>722</v>
      </c>
      <c r="C73" t="s">
        <v>489</v>
      </c>
      <c r="D73" t="s">
        <v>490</v>
      </c>
      <c r="E73" t="s">
        <v>80</v>
      </c>
      <c r="F73" t="s">
        <v>46</v>
      </c>
      <c r="G73">
        <v>1</v>
      </c>
      <c r="H73">
        <v>10</v>
      </c>
      <c r="I73" t="s">
        <v>47</v>
      </c>
      <c r="K73" t="s">
        <v>64</v>
      </c>
      <c r="L73" t="s">
        <v>81</v>
      </c>
      <c r="M73" t="s">
        <v>49</v>
      </c>
      <c r="N73">
        <v>3203600</v>
      </c>
      <c r="O73" t="s">
        <v>492</v>
      </c>
      <c r="Q73" t="s">
        <v>723</v>
      </c>
      <c r="R73" t="s">
        <v>483</v>
      </c>
      <c r="S73" t="s">
        <v>50</v>
      </c>
      <c r="T73">
        <v>0</v>
      </c>
      <c r="U73">
        <v>0</v>
      </c>
      <c r="V73">
        <v>3203600</v>
      </c>
      <c r="W73" t="s">
        <v>492</v>
      </c>
      <c r="X73" t="s">
        <v>723</v>
      </c>
      <c r="Y73" t="s">
        <v>483</v>
      </c>
      <c r="Z73" t="s">
        <v>50</v>
      </c>
      <c r="AA73">
        <v>0</v>
      </c>
      <c r="AB73">
        <v>0</v>
      </c>
      <c r="AC73">
        <v>3304400</v>
      </c>
      <c r="AD73" t="s">
        <v>494</v>
      </c>
      <c r="AE73">
        <v>2</v>
      </c>
      <c r="AF73">
        <v>0</v>
      </c>
      <c r="AG73" t="s">
        <v>53</v>
      </c>
      <c r="AH73" t="s">
        <v>72</v>
      </c>
      <c r="AI73" t="s">
        <v>73</v>
      </c>
      <c r="AJ73" t="s">
        <v>74</v>
      </c>
      <c r="AK73" t="s">
        <v>485</v>
      </c>
      <c r="AL73">
        <v>0</v>
      </c>
      <c r="AM73">
        <v>0</v>
      </c>
      <c r="AN73" t="s">
        <v>50</v>
      </c>
      <c r="AO73" t="s">
        <v>483</v>
      </c>
      <c r="AP73" t="s">
        <v>492</v>
      </c>
      <c r="AQ73" t="s">
        <v>486</v>
      </c>
      <c r="AR73" t="s">
        <v>723</v>
      </c>
      <c r="AS73">
        <v>3203600</v>
      </c>
      <c r="AT73" t="s">
        <v>83</v>
      </c>
      <c r="AU73">
        <v>2</v>
      </c>
    </row>
    <row r="74" spans="1:47" x14ac:dyDescent="0.3">
      <c r="A74" t="s">
        <v>724</v>
      </c>
      <c r="B74" t="s">
        <v>725</v>
      </c>
      <c r="C74" t="s">
        <v>489</v>
      </c>
      <c r="D74" t="s">
        <v>490</v>
      </c>
      <c r="E74" t="s">
        <v>221</v>
      </c>
      <c r="F74" t="s">
        <v>46</v>
      </c>
      <c r="G74">
        <v>1</v>
      </c>
      <c r="H74">
        <v>10</v>
      </c>
      <c r="I74" t="s">
        <v>47</v>
      </c>
      <c r="K74" t="s">
        <v>64</v>
      </c>
      <c r="L74" t="s">
        <v>48</v>
      </c>
      <c r="M74" t="s">
        <v>49</v>
      </c>
      <c r="N74">
        <v>3203600</v>
      </c>
      <c r="O74" t="s">
        <v>492</v>
      </c>
      <c r="Q74" t="s">
        <v>726</v>
      </c>
      <c r="R74" t="s">
        <v>483</v>
      </c>
      <c r="S74" t="s">
        <v>50</v>
      </c>
      <c r="T74">
        <v>0</v>
      </c>
      <c r="U74">
        <v>0</v>
      </c>
      <c r="V74">
        <v>3203600</v>
      </c>
      <c r="W74" t="s">
        <v>492</v>
      </c>
      <c r="X74" t="s">
        <v>726</v>
      </c>
      <c r="Y74" t="s">
        <v>483</v>
      </c>
      <c r="Z74" t="s">
        <v>50</v>
      </c>
      <c r="AA74">
        <v>0</v>
      </c>
      <c r="AB74">
        <v>0</v>
      </c>
      <c r="AC74">
        <v>3304400</v>
      </c>
      <c r="AD74" t="s">
        <v>494</v>
      </c>
      <c r="AE74">
        <v>2</v>
      </c>
      <c r="AF74">
        <v>0</v>
      </c>
      <c r="AG74" t="s">
        <v>53</v>
      </c>
      <c r="AH74" t="s">
        <v>72</v>
      </c>
      <c r="AI74" t="s">
        <v>73</v>
      </c>
      <c r="AJ74" t="s">
        <v>74</v>
      </c>
      <c r="AK74" t="s">
        <v>485</v>
      </c>
      <c r="AL74">
        <v>0</v>
      </c>
      <c r="AM74">
        <v>0</v>
      </c>
      <c r="AN74" t="s">
        <v>50</v>
      </c>
      <c r="AO74" t="s">
        <v>483</v>
      </c>
      <c r="AP74" t="s">
        <v>492</v>
      </c>
      <c r="AQ74" t="s">
        <v>486</v>
      </c>
      <c r="AR74" t="s">
        <v>726</v>
      </c>
      <c r="AS74">
        <v>3203600</v>
      </c>
      <c r="AT74" t="s">
        <v>983</v>
      </c>
      <c r="AU74">
        <v>2</v>
      </c>
    </row>
    <row r="75" spans="1:47" x14ac:dyDescent="0.3">
      <c r="A75" t="s">
        <v>727</v>
      </c>
      <c r="B75" t="s">
        <v>728</v>
      </c>
      <c r="C75" t="s">
        <v>489</v>
      </c>
      <c r="D75" t="s">
        <v>490</v>
      </c>
      <c r="E75" t="s">
        <v>80</v>
      </c>
      <c r="F75" t="s">
        <v>46</v>
      </c>
      <c r="G75">
        <v>1</v>
      </c>
      <c r="H75">
        <v>10</v>
      </c>
      <c r="I75" t="s">
        <v>47</v>
      </c>
      <c r="K75" t="s">
        <v>64</v>
      </c>
      <c r="L75" t="s">
        <v>81</v>
      </c>
      <c r="M75" t="s">
        <v>49</v>
      </c>
      <c r="N75">
        <v>3203600</v>
      </c>
      <c r="O75" t="s">
        <v>492</v>
      </c>
      <c r="Q75" t="s">
        <v>729</v>
      </c>
      <c r="R75" t="s">
        <v>483</v>
      </c>
      <c r="S75" t="s">
        <v>50</v>
      </c>
      <c r="T75">
        <v>0</v>
      </c>
      <c r="U75">
        <v>0</v>
      </c>
      <c r="V75">
        <v>3203600</v>
      </c>
      <c r="W75" t="s">
        <v>492</v>
      </c>
      <c r="X75" t="s">
        <v>729</v>
      </c>
      <c r="Y75" t="s">
        <v>483</v>
      </c>
      <c r="Z75" t="s">
        <v>50</v>
      </c>
      <c r="AA75">
        <v>0</v>
      </c>
      <c r="AB75">
        <v>0</v>
      </c>
      <c r="AC75">
        <v>3304400</v>
      </c>
      <c r="AD75" t="s">
        <v>494</v>
      </c>
      <c r="AE75">
        <v>2</v>
      </c>
      <c r="AF75">
        <v>0</v>
      </c>
      <c r="AG75" t="s">
        <v>53</v>
      </c>
      <c r="AH75" t="s">
        <v>72</v>
      </c>
      <c r="AI75" t="s">
        <v>73</v>
      </c>
      <c r="AJ75" t="s">
        <v>74</v>
      </c>
      <c r="AK75" t="s">
        <v>485</v>
      </c>
      <c r="AL75">
        <v>0</v>
      </c>
      <c r="AM75">
        <v>0</v>
      </c>
      <c r="AN75" t="s">
        <v>50</v>
      </c>
      <c r="AO75" t="s">
        <v>483</v>
      </c>
      <c r="AP75" t="s">
        <v>492</v>
      </c>
      <c r="AQ75" t="s">
        <v>486</v>
      </c>
      <c r="AR75" t="s">
        <v>729</v>
      </c>
      <c r="AS75">
        <v>3203600</v>
      </c>
      <c r="AT75" t="s">
        <v>83</v>
      </c>
      <c r="AU75">
        <v>2</v>
      </c>
    </row>
    <row r="76" spans="1:47" x14ac:dyDescent="0.3">
      <c r="A76" t="s">
        <v>730</v>
      </c>
      <c r="B76" t="s">
        <v>731</v>
      </c>
      <c r="C76" t="s">
        <v>489</v>
      </c>
      <c r="D76" t="s">
        <v>490</v>
      </c>
      <c r="E76" t="s">
        <v>80</v>
      </c>
      <c r="F76" t="s">
        <v>46</v>
      </c>
      <c r="G76">
        <v>1</v>
      </c>
      <c r="H76">
        <v>10</v>
      </c>
      <c r="I76" t="s">
        <v>47</v>
      </c>
      <c r="K76" t="s">
        <v>64</v>
      </c>
      <c r="L76" t="s">
        <v>48</v>
      </c>
      <c r="M76" t="s">
        <v>49</v>
      </c>
      <c r="N76">
        <v>3203600</v>
      </c>
      <c r="O76" t="s">
        <v>492</v>
      </c>
      <c r="Q76" t="s">
        <v>732</v>
      </c>
      <c r="R76" t="s">
        <v>483</v>
      </c>
      <c r="T76">
        <v>0</v>
      </c>
      <c r="U76">
        <v>0</v>
      </c>
      <c r="V76">
        <v>3203600</v>
      </c>
      <c r="W76" t="s">
        <v>492</v>
      </c>
      <c r="X76" t="s">
        <v>732</v>
      </c>
      <c r="Y76" t="s">
        <v>483</v>
      </c>
      <c r="Z76" t="s">
        <v>50</v>
      </c>
      <c r="AA76">
        <v>0</v>
      </c>
      <c r="AB76">
        <v>0</v>
      </c>
      <c r="AC76">
        <v>3304400</v>
      </c>
      <c r="AD76" t="s">
        <v>494</v>
      </c>
      <c r="AE76">
        <v>2</v>
      </c>
      <c r="AF76">
        <v>0</v>
      </c>
      <c r="AG76" t="s">
        <v>53</v>
      </c>
      <c r="AH76" t="s">
        <v>72</v>
      </c>
      <c r="AI76" t="s">
        <v>73</v>
      </c>
      <c r="AJ76" t="s">
        <v>74</v>
      </c>
      <c r="AK76" t="s">
        <v>485</v>
      </c>
      <c r="AL76">
        <v>0</v>
      </c>
      <c r="AM76">
        <v>0</v>
      </c>
      <c r="AN76" t="s">
        <v>50</v>
      </c>
      <c r="AO76" t="s">
        <v>483</v>
      </c>
      <c r="AP76" t="s">
        <v>492</v>
      </c>
      <c r="AR76" t="s">
        <v>732</v>
      </c>
      <c r="AS76">
        <v>3203600</v>
      </c>
      <c r="AT76" t="s">
        <v>83</v>
      </c>
      <c r="AU76">
        <v>2</v>
      </c>
    </row>
    <row r="77" spans="1:47" x14ac:dyDescent="0.3">
      <c r="A77" t="s">
        <v>733</v>
      </c>
      <c r="B77" t="s">
        <v>734</v>
      </c>
      <c r="C77" t="s">
        <v>516</v>
      </c>
      <c r="D77" t="s">
        <v>517</v>
      </c>
      <c r="E77" t="s">
        <v>62</v>
      </c>
      <c r="F77" t="s">
        <v>46</v>
      </c>
      <c r="G77">
        <v>1</v>
      </c>
      <c r="H77">
        <v>10</v>
      </c>
      <c r="I77" t="s">
        <v>47</v>
      </c>
      <c r="K77" t="s">
        <v>64</v>
      </c>
      <c r="L77" t="s">
        <v>81</v>
      </c>
      <c r="M77" t="s">
        <v>49</v>
      </c>
      <c r="N77">
        <v>3480300</v>
      </c>
      <c r="O77" t="s">
        <v>518</v>
      </c>
      <c r="Q77" t="s">
        <v>735</v>
      </c>
      <c r="R77" t="s">
        <v>483</v>
      </c>
      <c r="T77">
        <v>0</v>
      </c>
      <c r="U77">
        <v>0</v>
      </c>
      <c r="V77">
        <v>3480300</v>
      </c>
      <c r="W77" t="s">
        <v>518</v>
      </c>
      <c r="X77" t="s">
        <v>735</v>
      </c>
      <c r="Y77" t="s">
        <v>483</v>
      </c>
      <c r="Z77" t="s">
        <v>50</v>
      </c>
      <c r="AA77">
        <v>0</v>
      </c>
      <c r="AB77">
        <v>0</v>
      </c>
      <c r="AC77">
        <v>3589900</v>
      </c>
      <c r="AD77" t="s">
        <v>520</v>
      </c>
      <c r="AE77">
        <v>2</v>
      </c>
      <c r="AF77">
        <v>0</v>
      </c>
      <c r="AG77" t="s">
        <v>53</v>
      </c>
      <c r="AH77" t="s">
        <v>72</v>
      </c>
      <c r="AI77" t="s">
        <v>73</v>
      </c>
      <c r="AJ77" t="s">
        <v>74</v>
      </c>
      <c r="AK77" t="s">
        <v>485</v>
      </c>
      <c r="AL77">
        <v>0</v>
      </c>
      <c r="AM77">
        <v>0</v>
      </c>
      <c r="AN77" t="s">
        <v>50</v>
      </c>
      <c r="AO77" t="s">
        <v>483</v>
      </c>
      <c r="AP77" t="s">
        <v>518</v>
      </c>
      <c r="AR77" t="s">
        <v>735</v>
      </c>
      <c r="AS77">
        <v>3480300</v>
      </c>
      <c r="AT77" t="s">
        <v>83</v>
      </c>
      <c r="AU77">
        <v>2</v>
      </c>
    </row>
    <row r="78" spans="1:47" x14ac:dyDescent="0.3">
      <c r="A78" t="s">
        <v>736</v>
      </c>
      <c r="B78" t="s">
        <v>737</v>
      </c>
      <c r="C78" t="s">
        <v>477</v>
      </c>
      <c r="D78" t="s">
        <v>478</v>
      </c>
      <c r="E78" t="s">
        <v>558</v>
      </c>
      <c r="F78" t="s">
        <v>328</v>
      </c>
      <c r="G78">
        <v>1</v>
      </c>
      <c r="H78">
        <v>10</v>
      </c>
      <c r="I78" t="s">
        <v>47</v>
      </c>
      <c r="K78" t="s">
        <v>64</v>
      </c>
      <c r="L78" t="s">
        <v>48</v>
      </c>
      <c r="M78" t="s">
        <v>329</v>
      </c>
      <c r="N78">
        <v>2858800</v>
      </c>
      <c r="O78" t="s">
        <v>481</v>
      </c>
      <c r="Q78" t="s">
        <v>738</v>
      </c>
      <c r="R78" t="s">
        <v>483</v>
      </c>
      <c r="S78" t="s">
        <v>50</v>
      </c>
      <c r="T78">
        <v>0</v>
      </c>
      <c r="U78">
        <v>0</v>
      </c>
      <c r="V78">
        <v>2858800</v>
      </c>
      <c r="W78" t="s">
        <v>481</v>
      </c>
      <c r="X78" t="s">
        <v>738</v>
      </c>
      <c r="Y78" t="s">
        <v>483</v>
      </c>
      <c r="Z78" t="s">
        <v>50</v>
      </c>
      <c r="AA78">
        <v>0</v>
      </c>
      <c r="AB78">
        <v>0</v>
      </c>
      <c r="AC78">
        <v>2948800</v>
      </c>
      <c r="AD78" t="s">
        <v>484</v>
      </c>
      <c r="AE78">
        <v>5</v>
      </c>
      <c r="AF78">
        <v>0</v>
      </c>
      <c r="AG78" t="s">
        <v>53</v>
      </c>
      <c r="AH78" t="s">
        <v>72</v>
      </c>
      <c r="AI78" t="s">
        <v>73</v>
      </c>
      <c r="AJ78" t="s">
        <v>74</v>
      </c>
      <c r="AK78" t="s">
        <v>485</v>
      </c>
      <c r="AL78">
        <v>3</v>
      </c>
      <c r="AM78">
        <v>0</v>
      </c>
      <c r="AN78" t="s">
        <v>50</v>
      </c>
      <c r="AO78" t="s">
        <v>483</v>
      </c>
      <c r="AP78" t="s">
        <v>481</v>
      </c>
      <c r="AQ78" t="s">
        <v>486</v>
      </c>
      <c r="AR78" t="s">
        <v>738</v>
      </c>
      <c r="AS78">
        <v>2858800</v>
      </c>
      <c r="AT78" t="s">
        <v>83</v>
      </c>
      <c r="AU78">
        <v>2</v>
      </c>
    </row>
    <row r="79" spans="1:47" x14ac:dyDescent="0.3">
      <c r="A79" t="s">
        <v>739</v>
      </c>
      <c r="B79" t="s">
        <v>740</v>
      </c>
      <c r="C79" t="s">
        <v>516</v>
      </c>
      <c r="D79" t="s">
        <v>517</v>
      </c>
      <c r="E79" t="s">
        <v>62</v>
      </c>
      <c r="F79" t="s">
        <v>328</v>
      </c>
      <c r="G79">
        <v>1</v>
      </c>
      <c r="H79">
        <v>10</v>
      </c>
      <c r="I79" t="s">
        <v>47</v>
      </c>
      <c r="K79" t="s">
        <v>64</v>
      </c>
      <c r="L79" t="s">
        <v>48</v>
      </c>
      <c r="M79" t="s">
        <v>329</v>
      </c>
      <c r="N79">
        <v>3480300</v>
      </c>
      <c r="O79" t="s">
        <v>518</v>
      </c>
      <c r="Q79" t="s">
        <v>741</v>
      </c>
      <c r="R79" t="s">
        <v>483</v>
      </c>
      <c r="S79" t="s">
        <v>50</v>
      </c>
      <c r="T79">
        <v>0</v>
      </c>
      <c r="U79">
        <v>0</v>
      </c>
      <c r="V79">
        <v>3480300</v>
      </c>
      <c r="W79" t="s">
        <v>518</v>
      </c>
      <c r="X79" t="s">
        <v>741</v>
      </c>
      <c r="Y79" t="s">
        <v>483</v>
      </c>
      <c r="Z79" t="s">
        <v>50</v>
      </c>
      <c r="AA79">
        <v>0</v>
      </c>
      <c r="AB79">
        <v>0</v>
      </c>
      <c r="AC79">
        <v>3589900</v>
      </c>
      <c r="AD79" t="s">
        <v>520</v>
      </c>
      <c r="AE79">
        <v>2</v>
      </c>
      <c r="AF79">
        <v>0</v>
      </c>
      <c r="AG79" t="s">
        <v>53</v>
      </c>
      <c r="AH79" t="s">
        <v>72</v>
      </c>
      <c r="AI79" t="s">
        <v>73</v>
      </c>
      <c r="AJ79" t="s">
        <v>74</v>
      </c>
      <c r="AK79" t="s">
        <v>485</v>
      </c>
      <c r="AL79">
        <v>0</v>
      </c>
      <c r="AM79">
        <v>0</v>
      </c>
      <c r="AN79" t="s">
        <v>50</v>
      </c>
      <c r="AO79" t="s">
        <v>483</v>
      </c>
      <c r="AP79" t="s">
        <v>518</v>
      </c>
      <c r="AQ79" t="s">
        <v>486</v>
      </c>
      <c r="AR79" t="s">
        <v>741</v>
      </c>
      <c r="AS79">
        <v>3480300</v>
      </c>
      <c r="AT79" t="s">
        <v>83</v>
      </c>
      <c r="AU79">
        <v>2</v>
      </c>
    </row>
    <row r="80" spans="1:47" x14ac:dyDescent="0.3">
      <c r="A80" t="s">
        <v>742</v>
      </c>
      <c r="B80" t="s">
        <v>743</v>
      </c>
      <c r="C80" t="s">
        <v>516</v>
      </c>
      <c r="D80" t="s">
        <v>517</v>
      </c>
      <c r="E80" t="s">
        <v>62</v>
      </c>
      <c r="F80" t="s">
        <v>328</v>
      </c>
      <c r="G80">
        <v>1</v>
      </c>
      <c r="H80">
        <v>10</v>
      </c>
      <c r="I80" t="s">
        <v>47</v>
      </c>
      <c r="K80" t="s">
        <v>64</v>
      </c>
      <c r="L80" t="s">
        <v>48</v>
      </c>
      <c r="M80" t="s">
        <v>329</v>
      </c>
      <c r="N80">
        <v>3480300</v>
      </c>
      <c r="O80" t="s">
        <v>518</v>
      </c>
      <c r="Q80" t="s">
        <v>744</v>
      </c>
      <c r="R80" t="s">
        <v>483</v>
      </c>
      <c r="S80" t="s">
        <v>50</v>
      </c>
      <c r="T80">
        <v>0</v>
      </c>
      <c r="U80">
        <v>0</v>
      </c>
      <c r="V80">
        <v>3480300</v>
      </c>
      <c r="W80" t="s">
        <v>518</v>
      </c>
      <c r="X80" t="s">
        <v>744</v>
      </c>
      <c r="Y80" t="s">
        <v>483</v>
      </c>
      <c r="Z80" t="s">
        <v>50</v>
      </c>
      <c r="AA80">
        <v>0</v>
      </c>
      <c r="AB80">
        <v>0</v>
      </c>
      <c r="AC80">
        <v>3589900</v>
      </c>
      <c r="AD80" t="s">
        <v>520</v>
      </c>
      <c r="AE80">
        <v>2</v>
      </c>
      <c r="AF80">
        <v>0</v>
      </c>
      <c r="AG80" t="s">
        <v>53</v>
      </c>
      <c r="AH80" t="s">
        <v>72</v>
      </c>
      <c r="AI80" t="s">
        <v>73</v>
      </c>
      <c r="AJ80" t="s">
        <v>74</v>
      </c>
      <c r="AK80" t="s">
        <v>485</v>
      </c>
      <c r="AL80">
        <v>0</v>
      </c>
      <c r="AM80">
        <v>0</v>
      </c>
      <c r="AN80" t="s">
        <v>50</v>
      </c>
      <c r="AO80" t="s">
        <v>483</v>
      </c>
      <c r="AP80" t="s">
        <v>518</v>
      </c>
      <c r="AQ80" t="s">
        <v>486</v>
      </c>
      <c r="AR80" t="s">
        <v>744</v>
      </c>
      <c r="AS80">
        <v>3480300</v>
      </c>
      <c r="AT80" t="s">
        <v>83</v>
      </c>
      <c r="AU80">
        <v>2</v>
      </c>
    </row>
    <row r="81" spans="1:47" x14ac:dyDescent="0.3">
      <c r="A81" t="s">
        <v>745</v>
      </c>
      <c r="B81" t="s">
        <v>746</v>
      </c>
      <c r="C81" t="s">
        <v>516</v>
      </c>
      <c r="D81" t="s">
        <v>517</v>
      </c>
      <c r="E81" t="s">
        <v>62</v>
      </c>
      <c r="F81" t="s">
        <v>328</v>
      </c>
      <c r="G81">
        <v>1</v>
      </c>
      <c r="H81">
        <v>10</v>
      </c>
      <c r="I81" t="s">
        <v>47</v>
      </c>
      <c r="K81" t="s">
        <v>64</v>
      </c>
      <c r="L81" t="s">
        <v>81</v>
      </c>
      <c r="M81" t="s">
        <v>329</v>
      </c>
      <c r="N81">
        <v>3480300</v>
      </c>
      <c r="O81" t="s">
        <v>518</v>
      </c>
      <c r="Q81" t="s">
        <v>747</v>
      </c>
      <c r="R81" t="s">
        <v>483</v>
      </c>
      <c r="S81" t="s">
        <v>50</v>
      </c>
      <c r="T81">
        <v>0</v>
      </c>
      <c r="U81">
        <v>0</v>
      </c>
      <c r="V81">
        <v>3480300</v>
      </c>
      <c r="W81" t="s">
        <v>518</v>
      </c>
      <c r="X81" t="s">
        <v>747</v>
      </c>
      <c r="Y81" t="s">
        <v>483</v>
      </c>
      <c r="Z81" t="s">
        <v>50</v>
      </c>
      <c r="AA81">
        <v>0</v>
      </c>
      <c r="AB81">
        <v>0</v>
      </c>
      <c r="AC81">
        <v>3589900</v>
      </c>
      <c r="AD81" t="s">
        <v>520</v>
      </c>
      <c r="AE81">
        <v>2</v>
      </c>
      <c r="AF81">
        <v>0</v>
      </c>
      <c r="AG81" t="s">
        <v>53</v>
      </c>
      <c r="AH81" t="s">
        <v>72</v>
      </c>
      <c r="AI81" t="s">
        <v>73</v>
      </c>
      <c r="AJ81" t="s">
        <v>74</v>
      </c>
      <c r="AK81" t="s">
        <v>485</v>
      </c>
      <c r="AL81">
        <v>0</v>
      </c>
      <c r="AM81">
        <v>0</v>
      </c>
      <c r="AN81" t="s">
        <v>50</v>
      </c>
      <c r="AO81" t="s">
        <v>483</v>
      </c>
      <c r="AP81" t="s">
        <v>518</v>
      </c>
      <c r="AQ81" t="s">
        <v>486</v>
      </c>
      <c r="AR81" t="s">
        <v>747</v>
      </c>
      <c r="AS81">
        <v>3480300</v>
      </c>
      <c r="AT81" t="s">
        <v>83</v>
      </c>
      <c r="AU81">
        <v>2</v>
      </c>
    </row>
    <row r="82" spans="1:47" x14ac:dyDescent="0.3">
      <c r="A82" t="s">
        <v>748</v>
      </c>
      <c r="B82" t="s">
        <v>749</v>
      </c>
      <c r="C82" t="s">
        <v>489</v>
      </c>
      <c r="D82" t="s">
        <v>490</v>
      </c>
      <c r="E82" t="s">
        <v>80</v>
      </c>
      <c r="F82" t="s">
        <v>328</v>
      </c>
      <c r="G82">
        <v>1</v>
      </c>
      <c r="H82">
        <v>10</v>
      </c>
      <c r="I82" t="s">
        <v>47</v>
      </c>
      <c r="K82" t="s">
        <v>64</v>
      </c>
      <c r="L82" t="s">
        <v>81</v>
      </c>
      <c r="M82" t="s">
        <v>329</v>
      </c>
      <c r="N82">
        <v>3203600</v>
      </c>
      <c r="O82" t="s">
        <v>492</v>
      </c>
      <c r="Q82" t="s">
        <v>750</v>
      </c>
      <c r="R82" t="s">
        <v>483</v>
      </c>
      <c r="S82" t="s">
        <v>50</v>
      </c>
      <c r="T82">
        <v>0</v>
      </c>
      <c r="U82">
        <v>0</v>
      </c>
      <c r="V82">
        <v>3203600</v>
      </c>
      <c r="W82" t="s">
        <v>492</v>
      </c>
      <c r="X82" t="s">
        <v>750</v>
      </c>
      <c r="Y82" t="s">
        <v>483</v>
      </c>
      <c r="Z82" t="s">
        <v>50</v>
      </c>
      <c r="AA82">
        <v>0</v>
      </c>
      <c r="AB82">
        <v>0</v>
      </c>
      <c r="AC82">
        <v>3304400</v>
      </c>
      <c r="AD82" t="s">
        <v>494</v>
      </c>
      <c r="AE82">
        <v>2</v>
      </c>
      <c r="AF82">
        <v>0</v>
      </c>
      <c r="AG82" t="s">
        <v>53</v>
      </c>
      <c r="AH82" t="s">
        <v>72</v>
      </c>
      <c r="AI82" t="s">
        <v>73</v>
      </c>
      <c r="AJ82" t="s">
        <v>74</v>
      </c>
      <c r="AK82" t="s">
        <v>485</v>
      </c>
      <c r="AL82">
        <v>0</v>
      </c>
      <c r="AM82">
        <v>0</v>
      </c>
      <c r="AN82" t="s">
        <v>50</v>
      </c>
      <c r="AO82" t="s">
        <v>483</v>
      </c>
      <c r="AP82" t="s">
        <v>492</v>
      </c>
      <c r="AQ82" t="s">
        <v>486</v>
      </c>
      <c r="AR82" t="s">
        <v>750</v>
      </c>
      <c r="AS82">
        <v>3203600</v>
      </c>
      <c r="AT82" t="s">
        <v>83</v>
      </c>
      <c r="AU82">
        <v>2</v>
      </c>
    </row>
    <row r="83" spans="1:47" x14ac:dyDescent="0.3">
      <c r="A83" t="s">
        <v>751</v>
      </c>
      <c r="B83" t="s">
        <v>752</v>
      </c>
      <c r="C83" t="s">
        <v>489</v>
      </c>
      <c r="D83" t="s">
        <v>490</v>
      </c>
      <c r="E83" t="s">
        <v>80</v>
      </c>
      <c r="F83" t="s">
        <v>328</v>
      </c>
      <c r="G83">
        <v>1</v>
      </c>
      <c r="H83">
        <v>10</v>
      </c>
      <c r="I83" t="s">
        <v>47</v>
      </c>
      <c r="K83" t="s">
        <v>64</v>
      </c>
      <c r="L83" t="s">
        <v>81</v>
      </c>
      <c r="M83" t="s">
        <v>329</v>
      </c>
      <c r="N83">
        <v>3203600</v>
      </c>
      <c r="O83" t="s">
        <v>492</v>
      </c>
      <c r="Q83" t="s">
        <v>753</v>
      </c>
      <c r="R83" t="s">
        <v>483</v>
      </c>
      <c r="S83" t="s">
        <v>50</v>
      </c>
      <c r="T83">
        <v>0</v>
      </c>
      <c r="U83">
        <v>0</v>
      </c>
      <c r="V83">
        <v>3203600</v>
      </c>
      <c r="W83" t="s">
        <v>492</v>
      </c>
      <c r="X83" t="s">
        <v>753</v>
      </c>
      <c r="Y83" t="s">
        <v>483</v>
      </c>
      <c r="Z83" t="s">
        <v>50</v>
      </c>
      <c r="AA83">
        <v>0</v>
      </c>
      <c r="AB83">
        <v>0</v>
      </c>
      <c r="AC83">
        <v>3304400</v>
      </c>
      <c r="AD83" t="s">
        <v>494</v>
      </c>
      <c r="AE83">
        <v>2</v>
      </c>
      <c r="AF83">
        <v>0</v>
      </c>
      <c r="AG83" t="s">
        <v>53</v>
      </c>
      <c r="AH83" t="s">
        <v>72</v>
      </c>
      <c r="AI83" t="s">
        <v>73</v>
      </c>
      <c r="AJ83" t="s">
        <v>74</v>
      </c>
      <c r="AK83" t="s">
        <v>485</v>
      </c>
      <c r="AL83">
        <v>0</v>
      </c>
      <c r="AM83">
        <v>0</v>
      </c>
      <c r="AN83" t="s">
        <v>50</v>
      </c>
      <c r="AO83" t="s">
        <v>483</v>
      </c>
      <c r="AP83" t="s">
        <v>492</v>
      </c>
      <c r="AQ83" t="s">
        <v>486</v>
      </c>
      <c r="AR83" t="s">
        <v>753</v>
      </c>
      <c r="AS83">
        <v>3203600</v>
      </c>
      <c r="AT83" t="s">
        <v>83</v>
      </c>
      <c r="AU83">
        <v>2</v>
      </c>
    </row>
    <row r="84" spans="1:47" x14ac:dyDescent="0.3">
      <c r="A84" t="s">
        <v>754</v>
      </c>
      <c r="B84" t="s">
        <v>755</v>
      </c>
      <c r="C84" t="s">
        <v>516</v>
      </c>
      <c r="D84" t="s">
        <v>517</v>
      </c>
      <c r="E84" t="s">
        <v>62</v>
      </c>
      <c r="F84" t="s">
        <v>328</v>
      </c>
      <c r="G84">
        <v>1</v>
      </c>
      <c r="H84">
        <v>10</v>
      </c>
      <c r="I84" t="s">
        <v>47</v>
      </c>
      <c r="K84" t="s">
        <v>64</v>
      </c>
      <c r="L84" t="s">
        <v>81</v>
      </c>
      <c r="M84" t="s">
        <v>329</v>
      </c>
      <c r="N84">
        <v>3480300</v>
      </c>
      <c r="O84" t="s">
        <v>518</v>
      </c>
      <c r="Q84" t="s">
        <v>756</v>
      </c>
      <c r="R84" t="s">
        <v>483</v>
      </c>
      <c r="T84">
        <v>0</v>
      </c>
      <c r="U84">
        <v>0</v>
      </c>
      <c r="V84">
        <v>3480300</v>
      </c>
      <c r="W84" t="s">
        <v>518</v>
      </c>
      <c r="X84" t="s">
        <v>756</v>
      </c>
      <c r="Y84" t="s">
        <v>483</v>
      </c>
      <c r="Z84" t="s">
        <v>50</v>
      </c>
      <c r="AA84">
        <v>0</v>
      </c>
      <c r="AB84">
        <v>0</v>
      </c>
      <c r="AC84">
        <v>3589900</v>
      </c>
      <c r="AD84" t="s">
        <v>520</v>
      </c>
      <c r="AE84">
        <v>2</v>
      </c>
      <c r="AF84">
        <v>0</v>
      </c>
      <c r="AG84" t="s">
        <v>53</v>
      </c>
      <c r="AH84" t="s">
        <v>72</v>
      </c>
      <c r="AI84" t="s">
        <v>73</v>
      </c>
      <c r="AJ84" t="s">
        <v>74</v>
      </c>
      <c r="AK84" t="s">
        <v>485</v>
      </c>
      <c r="AL84">
        <v>0</v>
      </c>
      <c r="AM84">
        <v>0</v>
      </c>
      <c r="AN84" t="s">
        <v>50</v>
      </c>
      <c r="AO84" t="s">
        <v>483</v>
      </c>
      <c r="AP84" t="s">
        <v>518</v>
      </c>
      <c r="AR84" t="s">
        <v>756</v>
      </c>
      <c r="AS84">
        <v>3480300</v>
      </c>
      <c r="AT84" t="s">
        <v>83</v>
      </c>
      <c r="AU84">
        <v>2</v>
      </c>
    </row>
    <row r="85" spans="1:47" x14ac:dyDescent="0.3">
      <c r="A85" t="s">
        <v>757</v>
      </c>
      <c r="B85" t="s">
        <v>758</v>
      </c>
      <c r="C85" t="s">
        <v>477</v>
      </c>
      <c r="D85" t="s">
        <v>478</v>
      </c>
      <c r="E85" t="s">
        <v>558</v>
      </c>
      <c r="F85" t="s">
        <v>334</v>
      </c>
      <c r="G85">
        <v>1</v>
      </c>
      <c r="H85">
        <v>10</v>
      </c>
      <c r="I85" t="s">
        <v>47</v>
      </c>
      <c r="K85" t="s">
        <v>64</v>
      </c>
      <c r="L85" t="s">
        <v>48</v>
      </c>
      <c r="M85" t="s">
        <v>335</v>
      </c>
      <c r="N85">
        <v>2858800</v>
      </c>
      <c r="O85" t="s">
        <v>481</v>
      </c>
      <c r="Q85" t="s">
        <v>759</v>
      </c>
      <c r="R85" t="s">
        <v>483</v>
      </c>
      <c r="T85">
        <v>0</v>
      </c>
      <c r="U85">
        <v>0</v>
      </c>
      <c r="V85">
        <v>2858800</v>
      </c>
      <c r="W85" t="s">
        <v>481</v>
      </c>
      <c r="X85" t="s">
        <v>759</v>
      </c>
      <c r="Y85" t="s">
        <v>483</v>
      </c>
      <c r="Z85" t="s">
        <v>50</v>
      </c>
      <c r="AA85">
        <v>0</v>
      </c>
      <c r="AB85">
        <v>0</v>
      </c>
      <c r="AC85">
        <v>2948800</v>
      </c>
      <c r="AD85" t="s">
        <v>484</v>
      </c>
      <c r="AE85">
        <v>5</v>
      </c>
      <c r="AF85">
        <v>0</v>
      </c>
      <c r="AG85" t="s">
        <v>53</v>
      </c>
      <c r="AH85" t="s">
        <v>72</v>
      </c>
      <c r="AI85" t="s">
        <v>73</v>
      </c>
      <c r="AJ85" t="s">
        <v>74</v>
      </c>
      <c r="AK85" t="s">
        <v>485</v>
      </c>
      <c r="AL85">
        <v>3</v>
      </c>
      <c r="AM85">
        <v>0</v>
      </c>
      <c r="AN85" t="s">
        <v>50</v>
      </c>
      <c r="AO85" t="s">
        <v>483</v>
      </c>
      <c r="AP85" t="s">
        <v>481</v>
      </c>
      <c r="AR85" t="s">
        <v>759</v>
      </c>
      <c r="AS85">
        <v>2858800</v>
      </c>
      <c r="AT85" t="s">
        <v>83</v>
      </c>
      <c r="AU85">
        <v>2</v>
      </c>
    </row>
    <row r="86" spans="1:47" x14ac:dyDescent="0.3">
      <c r="A86" t="s">
        <v>760</v>
      </c>
      <c r="B86" t="s">
        <v>761</v>
      </c>
      <c r="C86" t="s">
        <v>477</v>
      </c>
      <c r="D86" t="s">
        <v>478</v>
      </c>
      <c r="E86" t="s">
        <v>479</v>
      </c>
      <c r="F86" t="s">
        <v>334</v>
      </c>
      <c r="G86">
        <v>1</v>
      </c>
      <c r="H86">
        <v>10</v>
      </c>
      <c r="I86" t="s">
        <v>47</v>
      </c>
      <c r="K86" t="s">
        <v>64</v>
      </c>
      <c r="L86" t="s">
        <v>81</v>
      </c>
      <c r="M86" t="s">
        <v>335</v>
      </c>
      <c r="N86">
        <v>2858800</v>
      </c>
      <c r="O86" t="s">
        <v>481</v>
      </c>
      <c r="Q86" t="s">
        <v>762</v>
      </c>
      <c r="R86" t="s">
        <v>483</v>
      </c>
      <c r="T86">
        <v>0</v>
      </c>
      <c r="U86">
        <v>0</v>
      </c>
      <c r="V86">
        <v>2858800</v>
      </c>
      <c r="W86" t="s">
        <v>481</v>
      </c>
      <c r="X86" t="s">
        <v>762</v>
      </c>
      <c r="Y86" t="s">
        <v>483</v>
      </c>
      <c r="Z86" t="s">
        <v>50</v>
      </c>
      <c r="AA86">
        <v>0</v>
      </c>
      <c r="AB86">
        <v>0</v>
      </c>
      <c r="AC86">
        <v>2948800</v>
      </c>
      <c r="AD86" t="s">
        <v>484</v>
      </c>
      <c r="AE86">
        <v>5</v>
      </c>
      <c r="AF86">
        <v>0</v>
      </c>
      <c r="AG86" t="s">
        <v>53</v>
      </c>
      <c r="AH86" t="s">
        <v>72</v>
      </c>
      <c r="AI86" t="s">
        <v>73</v>
      </c>
      <c r="AJ86" t="s">
        <v>74</v>
      </c>
      <c r="AK86" t="s">
        <v>485</v>
      </c>
      <c r="AL86">
        <v>3</v>
      </c>
      <c r="AM86">
        <v>0</v>
      </c>
      <c r="AN86" t="s">
        <v>50</v>
      </c>
      <c r="AO86" t="s">
        <v>483</v>
      </c>
      <c r="AP86" t="s">
        <v>481</v>
      </c>
      <c r="AR86" t="s">
        <v>762</v>
      </c>
      <c r="AS86">
        <v>2858800</v>
      </c>
      <c r="AT86" t="s">
        <v>83</v>
      </c>
      <c r="AU86">
        <v>2</v>
      </c>
    </row>
    <row r="87" spans="1:47" x14ac:dyDescent="0.3">
      <c r="A87" t="s">
        <v>763</v>
      </c>
      <c r="B87" t="s">
        <v>764</v>
      </c>
      <c r="C87" t="s">
        <v>477</v>
      </c>
      <c r="D87" t="s">
        <v>478</v>
      </c>
      <c r="E87" t="s">
        <v>558</v>
      </c>
      <c r="F87" t="s">
        <v>334</v>
      </c>
      <c r="G87">
        <v>1</v>
      </c>
      <c r="H87">
        <v>10</v>
      </c>
      <c r="I87" t="s">
        <v>47</v>
      </c>
      <c r="K87" t="s">
        <v>64</v>
      </c>
      <c r="L87" t="s">
        <v>81</v>
      </c>
      <c r="M87" t="s">
        <v>335</v>
      </c>
      <c r="N87">
        <v>2858800</v>
      </c>
      <c r="O87" t="s">
        <v>481</v>
      </c>
      <c r="Q87" t="s">
        <v>765</v>
      </c>
      <c r="R87" t="s">
        <v>483</v>
      </c>
      <c r="S87" t="s">
        <v>50</v>
      </c>
      <c r="T87">
        <v>0</v>
      </c>
      <c r="U87">
        <v>0</v>
      </c>
      <c r="V87">
        <v>2858800</v>
      </c>
      <c r="W87" t="s">
        <v>481</v>
      </c>
      <c r="X87" t="s">
        <v>765</v>
      </c>
      <c r="Y87" t="s">
        <v>483</v>
      </c>
      <c r="Z87" t="s">
        <v>50</v>
      </c>
      <c r="AA87">
        <v>0</v>
      </c>
      <c r="AB87">
        <v>0</v>
      </c>
      <c r="AC87">
        <v>2948800</v>
      </c>
      <c r="AD87" t="s">
        <v>484</v>
      </c>
      <c r="AE87">
        <v>5</v>
      </c>
      <c r="AF87">
        <v>0</v>
      </c>
      <c r="AG87" t="s">
        <v>53</v>
      </c>
      <c r="AH87" t="s">
        <v>72</v>
      </c>
      <c r="AI87" t="s">
        <v>73</v>
      </c>
      <c r="AJ87" t="s">
        <v>74</v>
      </c>
      <c r="AK87" t="s">
        <v>485</v>
      </c>
      <c r="AL87">
        <v>3</v>
      </c>
      <c r="AM87">
        <v>0</v>
      </c>
      <c r="AN87" t="s">
        <v>50</v>
      </c>
      <c r="AO87" t="s">
        <v>483</v>
      </c>
      <c r="AP87" t="s">
        <v>481</v>
      </c>
      <c r="AQ87" t="s">
        <v>486</v>
      </c>
      <c r="AR87" t="s">
        <v>765</v>
      </c>
      <c r="AS87">
        <v>2858800</v>
      </c>
      <c r="AT87" t="s">
        <v>83</v>
      </c>
      <c r="AU87">
        <v>2</v>
      </c>
    </row>
    <row r="88" spans="1:47" x14ac:dyDescent="0.3">
      <c r="A88" t="s">
        <v>766</v>
      </c>
      <c r="B88" t="s">
        <v>767</v>
      </c>
      <c r="C88" t="s">
        <v>477</v>
      </c>
      <c r="D88" t="s">
        <v>478</v>
      </c>
      <c r="E88" t="s">
        <v>558</v>
      </c>
      <c r="F88" t="s">
        <v>334</v>
      </c>
      <c r="G88">
        <v>1</v>
      </c>
      <c r="H88">
        <v>10</v>
      </c>
      <c r="I88" t="s">
        <v>47</v>
      </c>
      <c r="K88" t="s">
        <v>64</v>
      </c>
      <c r="L88" t="s">
        <v>48</v>
      </c>
      <c r="M88" t="s">
        <v>335</v>
      </c>
      <c r="N88">
        <v>2858800</v>
      </c>
      <c r="O88" t="s">
        <v>481</v>
      </c>
      <c r="Q88" t="s">
        <v>768</v>
      </c>
      <c r="R88" t="s">
        <v>483</v>
      </c>
      <c r="S88" t="s">
        <v>50</v>
      </c>
      <c r="T88">
        <v>0</v>
      </c>
      <c r="U88">
        <v>0</v>
      </c>
      <c r="V88">
        <v>2858800</v>
      </c>
      <c r="W88" t="s">
        <v>481</v>
      </c>
      <c r="X88" t="s">
        <v>768</v>
      </c>
      <c r="Y88" t="s">
        <v>483</v>
      </c>
      <c r="Z88" t="s">
        <v>50</v>
      </c>
      <c r="AA88">
        <v>0</v>
      </c>
      <c r="AB88">
        <v>0</v>
      </c>
      <c r="AC88">
        <v>2948800</v>
      </c>
      <c r="AD88" t="s">
        <v>484</v>
      </c>
      <c r="AE88">
        <v>5</v>
      </c>
      <c r="AF88">
        <v>0</v>
      </c>
      <c r="AG88" t="s">
        <v>53</v>
      </c>
      <c r="AH88" t="s">
        <v>72</v>
      </c>
      <c r="AI88" t="s">
        <v>73</v>
      </c>
      <c r="AJ88" t="s">
        <v>74</v>
      </c>
      <c r="AK88" t="s">
        <v>485</v>
      </c>
      <c r="AL88">
        <v>3</v>
      </c>
      <c r="AM88">
        <v>0</v>
      </c>
      <c r="AN88" t="s">
        <v>50</v>
      </c>
      <c r="AO88" t="s">
        <v>483</v>
      </c>
      <c r="AP88" t="s">
        <v>481</v>
      </c>
      <c r="AQ88" t="s">
        <v>486</v>
      </c>
      <c r="AR88" t="s">
        <v>768</v>
      </c>
      <c r="AS88">
        <v>2858800</v>
      </c>
      <c r="AT88" t="s">
        <v>83</v>
      </c>
      <c r="AU88">
        <v>2</v>
      </c>
    </row>
    <row r="89" spans="1:47" x14ac:dyDescent="0.3">
      <c r="A89" t="s">
        <v>769</v>
      </c>
      <c r="B89" t="s">
        <v>770</v>
      </c>
      <c r="C89" t="s">
        <v>489</v>
      </c>
      <c r="D89" t="s">
        <v>490</v>
      </c>
      <c r="E89" t="s">
        <v>80</v>
      </c>
      <c r="F89" t="s">
        <v>334</v>
      </c>
      <c r="G89">
        <v>1</v>
      </c>
      <c r="H89">
        <v>10</v>
      </c>
      <c r="I89" t="s">
        <v>47</v>
      </c>
      <c r="K89" t="s">
        <v>64</v>
      </c>
      <c r="L89" t="s">
        <v>48</v>
      </c>
      <c r="M89" t="s">
        <v>335</v>
      </c>
      <c r="N89">
        <v>3203600</v>
      </c>
      <c r="O89" t="s">
        <v>492</v>
      </c>
      <c r="Q89" t="s">
        <v>771</v>
      </c>
      <c r="R89" t="s">
        <v>483</v>
      </c>
      <c r="T89">
        <v>0</v>
      </c>
      <c r="U89">
        <v>0</v>
      </c>
      <c r="V89">
        <v>3203600</v>
      </c>
      <c r="W89" t="s">
        <v>492</v>
      </c>
      <c r="X89" t="s">
        <v>771</v>
      </c>
      <c r="Y89" t="s">
        <v>483</v>
      </c>
      <c r="Z89" t="s">
        <v>50</v>
      </c>
      <c r="AA89">
        <v>0</v>
      </c>
      <c r="AB89">
        <v>0</v>
      </c>
      <c r="AC89">
        <v>3304400</v>
      </c>
      <c r="AD89" t="s">
        <v>494</v>
      </c>
      <c r="AE89">
        <v>2</v>
      </c>
      <c r="AF89">
        <v>0</v>
      </c>
      <c r="AG89" t="s">
        <v>53</v>
      </c>
      <c r="AH89" t="s">
        <v>72</v>
      </c>
      <c r="AI89" t="s">
        <v>73</v>
      </c>
      <c r="AJ89" t="s">
        <v>74</v>
      </c>
      <c r="AK89" t="s">
        <v>485</v>
      </c>
      <c r="AL89">
        <v>0</v>
      </c>
      <c r="AM89">
        <v>0</v>
      </c>
      <c r="AN89" t="s">
        <v>50</v>
      </c>
      <c r="AO89" t="s">
        <v>483</v>
      </c>
      <c r="AP89" t="s">
        <v>492</v>
      </c>
      <c r="AR89" t="s">
        <v>771</v>
      </c>
      <c r="AS89">
        <v>3203600</v>
      </c>
      <c r="AT89" t="s">
        <v>83</v>
      </c>
      <c r="AU89">
        <v>2</v>
      </c>
    </row>
    <row r="90" spans="1:47" x14ac:dyDescent="0.3">
      <c r="A90" t="s">
        <v>772</v>
      </c>
      <c r="B90" t="s">
        <v>773</v>
      </c>
      <c r="C90" t="s">
        <v>516</v>
      </c>
      <c r="D90" t="s">
        <v>517</v>
      </c>
      <c r="E90" t="s">
        <v>62</v>
      </c>
      <c r="F90" t="s">
        <v>334</v>
      </c>
      <c r="G90">
        <v>1</v>
      </c>
      <c r="H90">
        <v>10</v>
      </c>
      <c r="I90" t="s">
        <v>47</v>
      </c>
      <c r="K90" t="s">
        <v>64</v>
      </c>
      <c r="L90" t="s">
        <v>48</v>
      </c>
      <c r="M90" t="s">
        <v>335</v>
      </c>
      <c r="N90">
        <v>3480300</v>
      </c>
      <c r="O90" t="s">
        <v>518</v>
      </c>
      <c r="Q90" t="s">
        <v>774</v>
      </c>
      <c r="R90" t="s">
        <v>483</v>
      </c>
      <c r="S90" t="s">
        <v>50</v>
      </c>
      <c r="T90">
        <v>0</v>
      </c>
      <c r="U90">
        <v>0</v>
      </c>
      <c r="V90">
        <v>3480300</v>
      </c>
      <c r="W90" t="s">
        <v>518</v>
      </c>
      <c r="X90" t="s">
        <v>774</v>
      </c>
      <c r="Y90" t="s">
        <v>483</v>
      </c>
      <c r="Z90" t="s">
        <v>50</v>
      </c>
      <c r="AA90">
        <v>0</v>
      </c>
      <c r="AB90">
        <v>0</v>
      </c>
      <c r="AC90">
        <v>3589900</v>
      </c>
      <c r="AD90" t="s">
        <v>520</v>
      </c>
      <c r="AE90">
        <v>2</v>
      </c>
      <c r="AF90">
        <v>0</v>
      </c>
      <c r="AG90" t="s">
        <v>53</v>
      </c>
      <c r="AH90" t="s">
        <v>72</v>
      </c>
      <c r="AI90" t="s">
        <v>73</v>
      </c>
      <c r="AJ90" t="s">
        <v>74</v>
      </c>
      <c r="AK90" t="s">
        <v>485</v>
      </c>
      <c r="AL90">
        <v>0</v>
      </c>
      <c r="AM90">
        <v>0</v>
      </c>
      <c r="AN90" t="s">
        <v>50</v>
      </c>
      <c r="AO90" t="s">
        <v>483</v>
      </c>
      <c r="AP90" t="s">
        <v>518</v>
      </c>
      <c r="AQ90" t="s">
        <v>486</v>
      </c>
      <c r="AR90" t="s">
        <v>774</v>
      </c>
      <c r="AS90">
        <v>3480300</v>
      </c>
      <c r="AT90" t="s">
        <v>83</v>
      </c>
      <c r="AU90">
        <v>2</v>
      </c>
    </row>
    <row r="91" spans="1:47" x14ac:dyDescent="0.3">
      <c r="A91" t="s">
        <v>775</v>
      </c>
      <c r="B91" t="s">
        <v>776</v>
      </c>
      <c r="C91" t="s">
        <v>516</v>
      </c>
      <c r="D91" t="s">
        <v>517</v>
      </c>
      <c r="E91" t="s">
        <v>62</v>
      </c>
      <c r="F91" t="s">
        <v>334</v>
      </c>
      <c r="G91">
        <v>1</v>
      </c>
      <c r="H91">
        <v>10</v>
      </c>
      <c r="I91" t="s">
        <v>47</v>
      </c>
      <c r="K91" t="s">
        <v>64</v>
      </c>
      <c r="L91" t="s">
        <v>48</v>
      </c>
      <c r="M91" t="s">
        <v>335</v>
      </c>
      <c r="N91">
        <v>3480300</v>
      </c>
      <c r="O91" t="s">
        <v>518</v>
      </c>
      <c r="Q91" t="s">
        <v>777</v>
      </c>
      <c r="R91" t="s">
        <v>483</v>
      </c>
      <c r="S91" t="s">
        <v>50</v>
      </c>
      <c r="T91">
        <v>0</v>
      </c>
      <c r="U91">
        <v>0</v>
      </c>
      <c r="V91">
        <v>3480300</v>
      </c>
      <c r="W91" t="s">
        <v>518</v>
      </c>
      <c r="X91" t="s">
        <v>777</v>
      </c>
      <c r="Y91" t="s">
        <v>483</v>
      </c>
      <c r="Z91" t="s">
        <v>50</v>
      </c>
      <c r="AA91">
        <v>0</v>
      </c>
      <c r="AB91">
        <v>0</v>
      </c>
      <c r="AC91">
        <v>3589900</v>
      </c>
      <c r="AD91" t="s">
        <v>520</v>
      </c>
      <c r="AE91">
        <v>2</v>
      </c>
      <c r="AF91">
        <v>0</v>
      </c>
      <c r="AG91" t="s">
        <v>53</v>
      </c>
      <c r="AH91" t="s">
        <v>72</v>
      </c>
      <c r="AI91" t="s">
        <v>73</v>
      </c>
      <c r="AJ91" t="s">
        <v>74</v>
      </c>
      <c r="AK91" t="s">
        <v>485</v>
      </c>
      <c r="AL91">
        <v>0</v>
      </c>
      <c r="AM91">
        <v>0</v>
      </c>
      <c r="AN91" t="s">
        <v>50</v>
      </c>
      <c r="AO91" t="s">
        <v>483</v>
      </c>
      <c r="AP91" t="s">
        <v>518</v>
      </c>
      <c r="AQ91" t="s">
        <v>486</v>
      </c>
      <c r="AR91" t="s">
        <v>777</v>
      </c>
      <c r="AS91">
        <v>3480300</v>
      </c>
      <c r="AT91" t="s">
        <v>83</v>
      </c>
      <c r="AU91">
        <v>2</v>
      </c>
    </row>
    <row r="92" spans="1:47" x14ac:dyDescent="0.3">
      <c r="A92" t="s">
        <v>778</v>
      </c>
      <c r="B92" t="s">
        <v>779</v>
      </c>
      <c r="C92" t="s">
        <v>516</v>
      </c>
      <c r="D92" t="s">
        <v>517</v>
      </c>
      <c r="E92" t="s">
        <v>62</v>
      </c>
      <c r="F92" t="s">
        <v>334</v>
      </c>
      <c r="G92">
        <v>1</v>
      </c>
      <c r="H92">
        <v>10</v>
      </c>
      <c r="I92" t="s">
        <v>47</v>
      </c>
      <c r="K92" t="s">
        <v>64</v>
      </c>
      <c r="L92" t="s">
        <v>81</v>
      </c>
      <c r="M92" t="s">
        <v>335</v>
      </c>
      <c r="N92">
        <v>3480300</v>
      </c>
      <c r="O92" t="s">
        <v>518</v>
      </c>
      <c r="Q92" t="s">
        <v>780</v>
      </c>
      <c r="R92" t="s">
        <v>483</v>
      </c>
      <c r="T92">
        <v>0</v>
      </c>
      <c r="U92">
        <v>0</v>
      </c>
      <c r="V92">
        <v>3480300</v>
      </c>
      <c r="W92" t="s">
        <v>518</v>
      </c>
      <c r="X92" t="s">
        <v>780</v>
      </c>
      <c r="Y92" t="s">
        <v>483</v>
      </c>
      <c r="Z92" t="s">
        <v>50</v>
      </c>
      <c r="AA92">
        <v>0</v>
      </c>
      <c r="AB92">
        <v>0</v>
      </c>
      <c r="AC92">
        <v>3589900</v>
      </c>
      <c r="AD92" t="s">
        <v>520</v>
      </c>
      <c r="AE92">
        <v>2</v>
      </c>
      <c r="AF92">
        <v>0</v>
      </c>
      <c r="AG92" t="s">
        <v>53</v>
      </c>
      <c r="AH92" t="s">
        <v>72</v>
      </c>
      <c r="AI92" t="s">
        <v>73</v>
      </c>
      <c r="AJ92" t="s">
        <v>74</v>
      </c>
      <c r="AK92" t="s">
        <v>485</v>
      </c>
      <c r="AL92">
        <v>0</v>
      </c>
      <c r="AM92">
        <v>0</v>
      </c>
      <c r="AN92" t="s">
        <v>50</v>
      </c>
      <c r="AO92" t="s">
        <v>483</v>
      </c>
      <c r="AP92" t="s">
        <v>518</v>
      </c>
      <c r="AR92" t="s">
        <v>780</v>
      </c>
      <c r="AS92">
        <v>3480300</v>
      </c>
      <c r="AT92" t="s">
        <v>83</v>
      </c>
      <c r="AU92">
        <v>2</v>
      </c>
    </row>
    <row r="93" spans="1:47" x14ac:dyDescent="0.3">
      <c r="A93" t="s">
        <v>781</v>
      </c>
      <c r="B93" t="s">
        <v>782</v>
      </c>
      <c r="C93" t="s">
        <v>489</v>
      </c>
      <c r="D93" t="s">
        <v>490</v>
      </c>
      <c r="E93" t="s">
        <v>80</v>
      </c>
      <c r="F93" t="s">
        <v>334</v>
      </c>
      <c r="G93">
        <v>1</v>
      </c>
      <c r="H93">
        <v>10</v>
      </c>
      <c r="I93" t="s">
        <v>47</v>
      </c>
      <c r="K93" t="s">
        <v>64</v>
      </c>
      <c r="L93" t="s">
        <v>48</v>
      </c>
      <c r="M93" t="s">
        <v>335</v>
      </c>
      <c r="N93">
        <v>3204600</v>
      </c>
      <c r="O93" t="s">
        <v>783</v>
      </c>
      <c r="Q93" t="s">
        <v>784</v>
      </c>
      <c r="R93" t="s">
        <v>483</v>
      </c>
      <c r="T93">
        <v>0</v>
      </c>
      <c r="U93">
        <v>0</v>
      </c>
      <c r="V93">
        <v>0</v>
      </c>
      <c r="W93" t="s">
        <v>785</v>
      </c>
      <c r="X93" t="s">
        <v>784</v>
      </c>
      <c r="Y93" t="s">
        <v>50</v>
      </c>
      <c r="Z93" t="s">
        <v>50</v>
      </c>
      <c r="AA93">
        <v>0</v>
      </c>
      <c r="AB93">
        <v>0</v>
      </c>
      <c r="AC93">
        <v>3304400</v>
      </c>
      <c r="AD93" t="s">
        <v>494</v>
      </c>
      <c r="AE93">
        <v>2</v>
      </c>
      <c r="AF93">
        <v>0</v>
      </c>
      <c r="AG93" t="s">
        <v>53</v>
      </c>
      <c r="AH93" t="s">
        <v>72</v>
      </c>
      <c r="AI93" t="s">
        <v>73</v>
      </c>
      <c r="AJ93" t="s">
        <v>74</v>
      </c>
      <c r="AK93" t="s">
        <v>485</v>
      </c>
      <c r="AL93">
        <v>0</v>
      </c>
      <c r="AM93">
        <v>0</v>
      </c>
      <c r="AN93" t="s">
        <v>50</v>
      </c>
      <c r="AO93" t="s">
        <v>483</v>
      </c>
      <c r="AP93" t="s">
        <v>492</v>
      </c>
      <c r="AR93" t="s">
        <v>784</v>
      </c>
      <c r="AS93">
        <v>3203600</v>
      </c>
      <c r="AT93" t="s">
        <v>83</v>
      </c>
      <c r="AU93">
        <v>2</v>
      </c>
    </row>
    <row r="94" spans="1:47" x14ac:dyDescent="0.3">
      <c r="A94" t="s">
        <v>786</v>
      </c>
      <c r="B94" t="s">
        <v>787</v>
      </c>
      <c r="C94" t="s">
        <v>516</v>
      </c>
      <c r="D94" t="s">
        <v>517</v>
      </c>
      <c r="E94" t="s">
        <v>62</v>
      </c>
      <c r="F94" t="s">
        <v>334</v>
      </c>
      <c r="G94">
        <v>1</v>
      </c>
      <c r="H94">
        <v>10</v>
      </c>
      <c r="I94" t="s">
        <v>47</v>
      </c>
      <c r="K94" t="s">
        <v>64</v>
      </c>
      <c r="L94" t="s">
        <v>81</v>
      </c>
      <c r="M94" t="s">
        <v>335</v>
      </c>
      <c r="N94">
        <v>3480300</v>
      </c>
      <c r="O94" t="s">
        <v>518</v>
      </c>
      <c r="Q94" t="s">
        <v>788</v>
      </c>
      <c r="R94" t="s">
        <v>483</v>
      </c>
      <c r="T94">
        <v>0</v>
      </c>
      <c r="U94">
        <v>0</v>
      </c>
      <c r="V94">
        <v>3480300</v>
      </c>
      <c r="W94" t="s">
        <v>518</v>
      </c>
      <c r="X94" t="s">
        <v>788</v>
      </c>
      <c r="Y94" t="s">
        <v>483</v>
      </c>
      <c r="Z94" t="s">
        <v>50</v>
      </c>
      <c r="AA94">
        <v>0</v>
      </c>
      <c r="AB94">
        <v>0</v>
      </c>
      <c r="AC94">
        <v>3589900</v>
      </c>
      <c r="AD94" t="s">
        <v>520</v>
      </c>
      <c r="AE94">
        <v>2</v>
      </c>
      <c r="AF94">
        <v>0</v>
      </c>
      <c r="AG94" t="s">
        <v>53</v>
      </c>
      <c r="AH94" t="s">
        <v>72</v>
      </c>
      <c r="AI94" t="s">
        <v>73</v>
      </c>
      <c r="AJ94" t="s">
        <v>74</v>
      </c>
      <c r="AK94" t="s">
        <v>485</v>
      </c>
      <c r="AL94">
        <v>0</v>
      </c>
      <c r="AM94">
        <v>0</v>
      </c>
      <c r="AN94" t="s">
        <v>50</v>
      </c>
      <c r="AO94" t="s">
        <v>483</v>
      </c>
      <c r="AP94" t="s">
        <v>518</v>
      </c>
      <c r="AR94" t="s">
        <v>788</v>
      </c>
      <c r="AS94">
        <v>3480300</v>
      </c>
      <c r="AT94" t="s">
        <v>83</v>
      </c>
      <c r="AU94">
        <v>2</v>
      </c>
    </row>
    <row r="95" spans="1:47" x14ac:dyDescent="0.3">
      <c r="A95" t="s">
        <v>789</v>
      </c>
      <c r="B95" t="s">
        <v>790</v>
      </c>
      <c r="C95" t="s">
        <v>489</v>
      </c>
      <c r="D95" t="s">
        <v>490</v>
      </c>
      <c r="E95" t="s">
        <v>491</v>
      </c>
      <c r="F95" t="s">
        <v>334</v>
      </c>
      <c r="G95">
        <v>1</v>
      </c>
      <c r="H95">
        <v>10</v>
      </c>
      <c r="I95" t="s">
        <v>47</v>
      </c>
      <c r="K95" t="s">
        <v>64</v>
      </c>
      <c r="L95" t="s">
        <v>48</v>
      </c>
      <c r="M95" t="s">
        <v>335</v>
      </c>
      <c r="N95">
        <v>3203600</v>
      </c>
      <c r="O95" t="s">
        <v>492</v>
      </c>
      <c r="Q95" t="s">
        <v>791</v>
      </c>
      <c r="R95" t="s">
        <v>483</v>
      </c>
      <c r="T95">
        <v>0</v>
      </c>
      <c r="U95">
        <v>0</v>
      </c>
      <c r="V95">
        <v>3203600</v>
      </c>
      <c r="W95" t="s">
        <v>492</v>
      </c>
      <c r="X95" t="s">
        <v>791</v>
      </c>
      <c r="Y95" t="s">
        <v>483</v>
      </c>
      <c r="Z95" t="s">
        <v>50</v>
      </c>
      <c r="AA95">
        <v>0</v>
      </c>
      <c r="AB95">
        <v>0</v>
      </c>
      <c r="AC95">
        <v>3304400</v>
      </c>
      <c r="AD95" t="s">
        <v>494</v>
      </c>
      <c r="AE95">
        <v>2</v>
      </c>
      <c r="AF95">
        <v>0</v>
      </c>
      <c r="AG95" t="s">
        <v>53</v>
      </c>
      <c r="AH95" t="s">
        <v>72</v>
      </c>
      <c r="AI95" t="s">
        <v>73</v>
      </c>
      <c r="AJ95" t="s">
        <v>74</v>
      </c>
      <c r="AK95" t="s">
        <v>485</v>
      </c>
      <c r="AL95">
        <v>0</v>
      </c>
      <c r="AM95">
        <v>0</v>
      </c>
      <c r="AN95" t="s">
        <v>50</v>
      </c>
      <c r="AO95" t="s">
        <v>483</v>
      </c>
      <c r="AP95" t="s">
        <v>492</v>
      </c>
      <c r="AR95" t="s">
        <v>791</v>
      </c>
      <c r="AS95">
        <v>3203600</v>
      </c>
      <c r="AT95" t="s">
        <v>980</v>
      </c>
      <c r="AU95">
        <v>2</v>
      </c>
    </row>
    <row r="96" spans="1:47" x14ac:dyDescent="0.3">
      <c r="A96" t="s">
        <v>792</v>
      </c>
      <c r="B96" t="s">
        <v>793</v>
      </c>
      <c r="C96" t="s">
        <v>489</v>
      </c>
      <c r="D96" t="s">
        <v>490</v>
      </c>
      <c r="E96" t="s">
        <v>80</v>
      </c>
      <c r="F96" t="s">
        <v>350</v>
      </c>
      <c r="G96">
        <v>1</v>
      </c>
      <c r="H96">
        <v>10</v>
      </c>
      <c r="I96" t="s">
        <v>47</v>
      </c>
      <c r="K96" t="s">
        <v>64</v>
      </c>
      <c r="L96" t="s">
        <v>81</v>
      </c>
      <c r="M96" t="s">
        <v>351</v>
      </c>
      <c r="N96">
        <v>3203600</v>
      </c>
      <c r="O96" t="s">
        <v>492</v>
      </c>
      <c r="Q96" t="s">
        <v>794</v>
      </c>
      <c r="R96" t="s">
        <v>483</v>
      </c>
      <c r="T96">
        <v>0</v>
      </c>
      <c r="U96">
        <v>0</v>
      </c>
      <c r="V96">
        <v>3203600</v>
      </c>
      <c r="W96" t="s">
        <v>492</v>
      </c>
      <c r="X96" t="s">
        <v>794</v>
      </c>
      <c r="Y96" t="s">
        <v>483</v>
      </c>
      <c r="Z96" t="s">
        <v>50</v>
      </c>
      <c r="AA96">
        <v>0</v>
      </c>
      <c r="AB96">
        <v>0</v>
      </c>
      <c r="AC96">
        <v>3304400</v>
      </c>
      <c r="AD96" t="s">
        <v>494</v>
      </c>
      <c r="AE96">
        <v>2</v>
      </c>
      <c r="AF96">
        <v>0</v>
      </c>
      <c r="AG96" t="s">
        <v>53</v>
      </c>
      <c r="AH96" t="s">
        <v>72</v>
      </c>
      <c r="AI96" t="s">
        <v>73</v>
      </c>
      <c r="AJ96" t="s">
        <v>74</v>
      </c>
      <c r="AK96" t="s">
        <v>485</v>
      </c>
      <c r="AL96">
        <v>0</v>
      </c>
      <c r="AM96">
        <v>0</v>
      </c>
      <c r="AN96" t="s">
        <v>50</v>
      </c>
      <c r="AO96" t="s">
        <v>483</v>
      </c>
      <c r="AP96" t="s">
        <v>492</v>
      </c>
      <c r="AR96" t="s">
        <v>794</v>
      </c>
      <c r="AS96">
        <v>3203600</v>
      </c>
      <c r="AT96" t="s">
        <v>83</v>
      </c>
      <c r="AU96">
        <v>2</v>
      </c>
    </row>
    <row r="97" spans="1:47" x14ac:dyDescent="0.3">
      <c r="A97" t="s">
        <v>795</v>
      </c>
      <c r="B97" t="s">
        <v>796</v>
      </c>
      <c r="C97" t="s">
        <v>489</v>
      </c>
      <c r="D97" t="s">
        <v>490</v>
      </c>
      <c r="E97" t="s">
        <v>80</v>
      </c>
      <c r="F97" t="s">
        <v>360</v>
      </c>
      <c r="G97">
        <v>1</v>
      </c>
      <c r="H97">
        <v>10</v>
      </c>
      <c r="I97" t="s">
        <v>47</v>
      </c>
      <c r="K97" t="s">
        <v>64</v>
      </c>
      <c r="L97" t="s">
        <v>81</v>
      </c>
      <c r="M97" t="s">
        <v>361</v>
      </c>
      <c r="N97">
        <v>3203600</v>
      </c>
      <c r="O97" t="s">
        <v>492</v>
      </c>
      <c r="Q97" t="s">
        <v>797</v>
      </c>
      <c r="R97" t="s">
        <v>483</v>
      </c>
      <c r="T97">
        <v>0</v>
      </c>
      <c r="U97">
        <v>0</v>
      </c>
      <c r="V97">
        <v>3203600</v>
      </c>
      <c r="W97" t="s">
        <v>492</v>
      </c>
      <c r="X97" t="s">
        <v>797</v>
      </c>
      <c r="Y97" t="s">
        <v>483</v>
      </c>
      <c r="Z97" t="s">
        <v>50</v>
      </c>
      <c r="AA97">
        <v>0</v>
      </c>
      <c r="AB97">
        <v>0</v>
      </c>
      <c r="AC97">
        <v>3304400</v>
      </c>
      <c r="AD97" t="s">
        <v>494</v>
      </c>
      <c r="AE97">
        <v>2</v>
      </c>
      <c r="AF97">
        <v>0</v>
      </c>
      <c r="AG97" t="s">
        <v>53</v>
      </c>
      <c r="AH97" t="s">
        <v>72</v>
      </c>
      <c r="AI97" t="s">
        <v>73</v>
      </c>
      <c r="AJ97" t="s">
        <v>74</v>
      </c>
      <c r="AK97" t="s">
        <v>485</v>
      </c>
      <c r="AL97">
        <v>0</v>
      </c>
      <c r="AM97">
        <v>0</v>
      </c>
      <c r="AN97" t="s">
        <v>50</v>
      </c>
      <c r="AO97" t="s">
        <v>483</v>
      </c>
      <c r="AP97" t="s">
        <v>492</v>
      </c>
      <c r="AR97" t="s">
        <v>797</v>
      </c>
      <c r="AS97">
        <v>3203600</v>
      </c>
      <c r="AT97" t="s">
        <v>83</v>
      </c>
      <c r="AU97">
        <v>2</v>
      </c>
    </row>
    <row r="98" spans="1:47" x14ac:dyDescent="0.3">
      <c r="A98" t="s">
        <v>798</v>
      </c>
      <c r="B98" t="s">
        <v>799</v>
      </c>
      <c r="C98" t="s">
        <v>477</v>
      </c>
      <c r="D98" t="s">
        <v>478</v>
      </c>
      <c r="E98" t="s">
        <v>558</v>
      </c>
      <c r="F98" t="s">
        <v>370</v>
      </c>
      <c r="G98">
        <v>1</v>
      </c>
      <c r="H98">
        <v>10</v>
      </c>
      <c r="I98" t="s">
        <v>47</v>
      </c>
      <c r="K98" t="s">
        <v>64</v>
      </c>
      <c r="L98" t="s">
        <v>48</v>
      </c>
      <c r="M98" t="s">
        <v>371</v>
      </c>
      <c r="N98">
        <v>2858800</v>
      </c>
      <c r="O98" t="s">
        <v>481</v>
      </c>
      <c r="Q98" t="s">
        <v>800</v>
      </c>
      <c r="R98" t="s">
        <v>483</v>
      </c>
      <c r="T98">
        <v>0</v>
      </c>
      <c r="U98">
        <v>0</v>
      </c>
      <c r="V98">
        <v>2858800</v>
      </c>
      <c r="W98" t="s">
        <v>481</v>
      </c>
      <c r="X98" t="s">
        <v>800</v>
      </c>
      <c r="Y98" t="s">
        <v>483</v>
      </c>
      <c r="Z98" t="s">
        <v>50</v>
      </c>
      <c r="AA98">
        <v>0</v>
      </c>
      <c r="AB98">
        <v>0</v>
      </c>
      <c r="AC98">
        <v>2948800</v>
      </c>
      <c r="AD98" t="s">
        <v>484</v>
      </c>
      <c r="AE98">
        <v>5</v>
      </c>
      <c r="AF98">
        <v>0</v>
      </c>
      <c r="AG98" t="s">
        <v>53</v>
      </c>
      <c r="AH98" t="s">
        <v>72</v>
      </c>
      <c r="AI98" t="s">
        <v>73</v>
      </c>
      <c r="AJ98" t="s">
        <v>74</v>
      </c>
      <c r="AK98" t="s">
        <v>485</v>
      </c>
      <c r="AL98">
        <v>3</v>
      </c>
      <c r="AM98">
        <v>0</v>
      </c>
      <c r="AN98" t="s">
        <v>50</v>
      </c>
      <c r="AO98" t="s">
        <v>483</v>
      </c>
      <c r="AP98" t="s">
        <v>481</v>
      </c>
      <c r="AR98" t="s">
        <v>800</v>
      </c>
      <c r="AS98">
        <v>2858800</v>
      </c>
      <c r="AT98" t="s">
        <v>83</v>
      </c>
      <c r="AU98">
        <v>2</v>
      </c>
    </row>
    <row r="99" spans="1:47" x14ac:dyDescent="0.3">
      <c r="A99" t="s">
        <v>801</v>
      </c>
      <c r="B99" t="s">
        <v>802</v>
      </c>
      <c r="C99" t="s">
        <v>516</v>
      </c>
      <c r="D99" t="s">
        <v>517</v>
      </c>
      <c r="E99" t="s">
        <v>62</v>
      </c>
      <c r="F99" t="s">
        <v>370</v>
      </c>
      <c r="G99">
        <v>1</v>
      </c>
      <c r="H99">
        <v>10</v>
      </c>
      <c r="I99" t="s">
        <v>47</v>
      </c>
      <c r="K99" t="s">
        <v>64</v>
      </c>
      <c r="L99" t="s">
        <v>48</v>
      </c>
      <c r="M99" t="s">
        <v>371</v>
      </c>
      <c r="N99">
        <v>3480300</v>
      </c>
      <c r="O99" t="s">
        <v>518</v>
      </c>
      <c r="Q99" t="s">
        <v>803</v>
      </c>
      <c r="R99" t="s">
        <v>483</v>
      </c>
      <c r="T99">
        <v>0</v>
      </c>
      <c r="U99">
        <v>0</v>
      </c>
      <c r="V99">
        <v>3480300</v>
      </c>
      <c r="W99" t="s">
        <v>518</v>
      </c>
      <c r="X99" t="s">
        <v>803</v>
      </c>
      <c r="Y99" t="s">
        <v>483</v>
      </c>
      <c r="Z99" t="s">
        <v>50</v>
      </c>
      <c r="AA99">
        <v>0</v>
      </c>
      <c r="AB99">
        <v>0</v>
      </c>
      <c r="AC99">
        <v>3589900</v>
      </c>
      <c r="AD99" t="s">
        <v>520</v>
      </c>
      <c r="AE99">
        <v>2</v>
      </c>
      <c r="AF99">
        <v>0</v>
      </c>
      <c r="AG99" t="s">
        <v>53</v>
      </c>
      <c r="AH99" t="s">
        <v>72</v>
      </c>
      <c r="AI99" t="s">
        <v>73</v>
      </c>
      <c r="AJ99" t="s">
        <v>74</v>
      </c>
      <c r="AK99" t="s">
        <v>485</v>
      </c>
      <c r="AL99">
        <v>0</v>
      </c>
      <c r="AM99">
        <v>0</v>
      </c>
      <c r="AN99" t="s">
        <v>50</v>
      </c>
      <c r="AO99" t="s">
        <v>483</v>
      </c>
      <c r="AP99" t="s">
        <v>518</v>
      </c>
      <c r="AR99" t="s">
        <v>803</v>
      </c>
      <c r="AS99">
        <v>3480300</v>
      </c>
      <c r="AT99" t="s">
        <v>83</v>
      </c>
      <c r="AU99">
        <v>2</v>
      </c>
    </row>
    <row r="100" spans="1:47" x14ac:dyDescent="0.3">
      <c r="A100" t="s">
        <v>804</v>
      </c>
      <c r="B100" t="s">
        <v>805</v>
      </c>
      <c r="C100" t="s">
        <v>516</v>
      </c>
      <c r="D100" t="s">
        <v>517</v>
      </c>
      <c r="E100" t="s">
        <v>62</v>
      </c>
      <c r="F100" t="s">
        <v>370</v>
      </c>
      <c r="G100">
        <v>1</v>
      </c>
      <c r="H100">
        <v>10</v>
      </c>
      <c r="I100" t="s">
        <v>47</v>
      </c>
      <c r="K100" t="s">
        <v>64</v>
      </c>
      <c r="L100" t="s">
        <v>48</v>
      </c>
      <c r="M100" t="s">
        <v>371</v>
      </c>
      <c r="N100">
        <v>3480300</v>
      </c>
      <c r="O100" t="s">
        <v>518</v>
      </c>
      <c r="Q100" t="s">
        <v>806</v>
      </c>
      <c r="R100" t="s">
        <v>483</v>
      </c>
      <c r="T100">
        <v>0</v>
      </c>
      <c r="U100">
        <v>0</v>
      </c>
      <c r="V100">
        <v>3480300</v>
      </c>
      <c r="W100" t="s">
        <v>518</v>
      </c>
      <c r="X100" t="s">
        <v>806</v>
      </c>
      <c r="Y100" t="s">
        <v>483</v>
      </c>
      <c r="Z100" t="s">
        <v>50</v>
      </c>
      <c r="AA100">
        <v>0</v>
      </c>
      <c r="AB100">
        <v>0</v>
      </c>
      <c r="AC100">
        <v>3589900</v>
      </c>
      <c r="AD100" t="s">
        <v>520</v>
      </c>
      <c r="AE100">
        <v>2</v>
      </c>
      <c r="AF100">
        <v>0</v>
      </c>
      <c r="AG100" t="s">
        <v>53</v>
      </c>
      <c r="AH100" t="s">
        <v>72</v>
      </c>
      <c r="AI100" t="s">
        <v>73</v>
      </c>
      <c r="AJ100" t="s">
        <v>74</v>
      </c>
      <c r="AK100" t="s">
        <v>485</v>
      </c>
      <c r="AL100">
        <v>0</v>
      </c>
      <c r="AM100">
        <v>0</v>
      </c>
      <c r="AN100" t="s">
        <v>50</v>
      </c>
      <c r="AO100" t="s">
        <v>483</v>
      </c>
      <c r="AP100" t="s">
        <v>518</v>
      </c>
      <c r="AR100" t="s">
        <v>806</v>
      </c>
      <c r="AS100">
        <v>3480300</v>
      </c>
      <c r="AT100" t="s">
        <v>83</v>
      </c>
      <c r="AU100">
        <v>2</v>
      </c>
    </row>
    <row r="101" spans="1:47" x14ac:dyDescent="0.3">
      <c r="A101" t="s">
        <v>807</v>
      </c>
      <c r="B101" t="s">
        <v>808</v>
      </c>
      <c r="C101" t="s">
        <v>489</v>
      </c>
      <c r="D101" t="s">
        <v>490</v>
      </c>
      <c r="E101" t="s">
        <v>80</v>
      </c>
      <c r="F101" t="s">
        <v>370</v>
      </c>
      <c r="G101">
        <v>1</v>
      </c>
      <c r="H101">
        <v>10</v>
      </c>
      <c r="I101" t="s">
        <v>47</v>
      </c>
      <c r="K101" t="s">
        <v>64</v>
      </c>
      <c r="L101" t="s">
        <v>81</v>
      </c>
      <c r="M101" t="s">
        <v>371</v>
      </c>
      <c r="N101">
        <v>3203600</v>
      </c>
      <c r="O101" t="s">
        <v>492</v>
      </c>
      <c r="Q101" t="s">
        <v>809</v>
      </c>
      <c r="R101" t="s">
        <v>483</v>
      </c>
      <c r="T101">
        <v>0</v>
      </c>
      <c r="U101">
        <v>0</v>
      </c>
      <c r="V101">
        <v>3203600</v>
      </c>
      <c r="W101" t="s">
        <v>492</v>
      </c>
      <c r="X101" t="s">
        <v>809</v>
      </c>
      <c r="Y101" t="s">
        <v>483</v>
      </c>
      <c r="Z101" t="s">
        <v>50</v>
      </c>
      <c r="AA101">
        <v>0</v>
      </c>
      <c r="AB101">
        <v>0</v>
      </c>
      <c r="AC101">
        <v>3304400</v>
      </c>
      <c r="AD101" t="s">
        <v>494</v>
      </c>
      <c r="AE101">
        <v>2</v>
      </c>
      <c r="AF101">
        <v>0</v>
      </c>
      <c r="AG101" t="s">
        <v>53</v>
      </c>
      <c r="AH101" t="s">
        <v>72</v>
      </c>
      <c r="AI101" t="s">
        <v>73</v>
      </c>
      <c r="AJ101" t="s">
        <v>74</v>
      </c>
      <c r="AK101" t="s">
        <v>485</v>
      </c>
      <c r="AL101">
        <v>0</v>
      </c>
      <c r="AM101">
        <v>0</v>
      </c>
      <c r="AN101" t="s">
        <v>50</v>
      </c>
      <c r="AO101" t="s">
        <v>483</v>
      </c>
      <c r="AP101" t="s">
        <v>492</v>
      </c>
      <c r="AR101" t="s">
        <v>809</v>
      </c>
      <c r="AS101">
        <v>3203600</v>
      </c>
      <c r="AT101" t="s">
        <v>83</v>
      </c>
      <c r="AU101">
        <v>2</v>
      </c>
    </row>
    <row r="102" spans="1:47" x14ac:dyDescent="0.3">
      <c r="A102" t="s">
        <v>810</v>
      </c>
      <c r="B102" t="s">
        <v>811</v>
      </c>
      <c r="C102" t="s">
        <v>516</v>
      </c>
      <c r="D102" t="s">
        <v>517</v>
      </c>
      <c r="E102" t="s">
        <v>62</v>
      </c>
      <c r="F102" t="s">
        <v>370</v>
      </c>
      <c r="G102">
        <v>1</v>
      </c>
      <c r="H102">
        <v>10</v>
      </c>
      <c r="I102" t="s">
        <v>47</v>
      </c>
      <c r="K102" t="s">
        <v>64</v>
      </c>
      <c r="L102" t="s">
        <v>48</v>
      </c>
      <c r="M102" t="s">
        <v>371</v>
      </c>
      <c r="N102">
        <v>3480300</v>
      </c>
      <c r="O102" t="s">
        <v>518</v>
      </c>
      <c r="Q102" t="s">
        <v>812</v>
      </c>
      <c r="R102" t="s">
        <v>483</v>
      </c>
      <c r="T102">
        <v>0</v>
      </c>
      <c r="U102">
        <v>0</v>
      </c>
      <c r="V102">
        <v>3480300</v>
      </c>
      <c r="W102" t="s">
        <v>518</v>
      </c>
      <c r="X102" t="s">
        <v>812</v>
      </c>
      <c r="Y102" t="s">
        <v>483</v>
      </c>
      <c r="Z102" t="s">
        <v>50</v>
      </c>
      <c r="AA102">
        <v>0</v>
      </c>
      <c r="AB102">
        <v>0</v>
      </c>
      <c r="AC102">
        <v>3589900</v>
      </c>
      <c r="AD102" t="s">
        <v>520</v>
      </c>
      <c r="AE102">
        <v>2</v>
      </c>
      <c r="AF102">
        <v>0</v>
      </c>
      <c r="AG102" t="s">
        <v>53</v>
      </c>
      <c r="AH102" t="s">
        <v>72</v>
      </c>
      <c r="AI102" t="s">
        <v>73</v>
      </c>
      <c r="AJ102" t="s">
        <v>74</v>
      </c>
      <c r="AK102" t="s">
        <v>485</v>
      </c>
      <c r="AL102">
        <v>0</v>
      </c>
      <c r="AM102">
        <v>0</v>
      </c>
      <c r="AN102" t="s">
        <v>50</v>
      </c>
      <c r="AO102" t="s">
        <v>483</v>
      </c>
      <c r="AP102" t="s">
        <v>518</v>
      </c>
      <c r="AR102" t="s">
        <v>812</v>
      </c>
      <c r="AS102">
        <v>3480300</v>
      </c>
      <c r="AT102" t="s">
        <v>83</v>
      </c>
      <c r="AU102">
        <v>2</v>
      </c>
    </row>
    <row r="103" spans="1:47" x14ac:dyDescent="0.3">
      <c r="A103" t="s">
        <v>813</v>
      </c>
      <c r="B103" t="s">
        <v>814</v>
      </c>
      <c r="C103" t="s">
        <v>516</v>
      </c>
      <c r="D103" t="s">
        <v>517</v>
      </c>
      <c r="E103" t="s">
        <v>62</v>
      </c>
      <c r="F103" t="s">
        <v>370</v>
      </c>
      <c r="G103">
        <v>1</v>
      </c>
      <c r="H103">
        <v>10</v>
      </c>
      <c r="I103" t="s">
        <v>47</v>
      </c>
      <c r="K103" t="s">
        <v>64</v>
      </c>
      <c r="L103" t="s">
        <v>81</v>
      </c>
      <c r="M103" t="s">
        <v>371</v>
      </c>
      <c r="N103">
        <v>3480300</v>
      </c>
      <c r="O103" t="s">
        <v>518</v>
      </c>
      <c r="Q103" t="s">
        <v>815</v>
      </c>
      <c r="R103" t="s">
        <v>483</v>
      </c>
      <c r="T103">
        <v>0</v>
      </c>
      <c r="U103">
        <v>0</v>
      </c>
      <c r="V103">
        <v>3480300</v>
      </c>
      <c r="W103" t="s">
        <v>518</v>
      </c>
      <c r="X103" t="s">
        <v>815</v>
      </c>
      <c r="Y103" t="s">
        <v>483</v>
      </c>
      <c r="Z103" t="s">
        <v>50</v>
      </c>
      <c r="AA103">
        <v>0</v>
      </c>
      <c r="AB103">
        <v>0</v>
      </c>
      <c r="AC103">
        <v>3589900</v>
      </c>
      <c r="AD103" t="s">
        <v>520</v>
      </c>
      <c r="AE103">
        <v>2</v>
      </c>
      <c r="AF103">
        <v>0</v>
      </c>
      <c r="AG103" t="s">
        <v>53</v>
      </c>
      <c r="AH103" t="s">
        <v>72</v>
      </c>
      <c r="AI103" t="s">
        <v>73</v>
      </c>
      <c r="AJ103" t="s">
        <v>74</v>
      </c>
      <c r="AK103" t="s">
        <v>485</v>
      </c>
      <c r="AL103">
        <v>0</v>
      </c>
      <c r="AM103">
        <v>0</v>
      </c>
      <c r="AN103" t="s">
        <v>50</v>
      </c>
      <c r="AO103" t="s">
        <v>483</v>
      </c>
      <c r="AP103" t="s">
        <v>518</v>
      </c>
      <c r="AR103" t="s">
        <v>815</v>
      </c>
      <c r="AS103">
        <v>3480300</v>
      </c>
      <c r="AT103" t="s">
        <v>83</v>
      </c>
      <c r="AU103">
        <v>2</v>
      </c>
    </row>
    <row r="104" spans="1:47" x14ac:dyDescent="0.3">
      <c r="A104" t="s">
        <v>816</v>
      </c>
      <c r="B104" t="s">
        <v>817</v>
      </c>
      <c r="C104" t="s">
        <v>489</v>
      </c>
      <c r="D104" t="s">
        <v>490</v>
      </c>
      <c r="E104" t="s">
        <v>80</v>
      </c>
      <c r="F104" t="s">
        <v>385</v>
      </c>
      <c r="G104">
        <v>1</v>
      </c>
      <c r="H104">
        <v>10</v>
      </c>
      <c r="I104" t="s">
        <v>47</v>
      </c>
      <c r="K104" t="s">
        <v>64</v>
      </c>
      <c r="L104" t="s">
        <v>48</v>
      </c>
      <c r="M104" t="s">
        <v>386</v>
      </c>
      <c r="N104">
        <v>3203600</v>
      </c>
      <c r="O104" t="s">
        <v>492</v>
      </c>
      <c r="Q104" t="s">
        <v>818</v>
      </c>
      <c r="R104" t="s">
        <v>483</v>
      </c>
      <c r="T104">
        <v>0</v>
      </c>
      <c r="U104">
        <v>0</v>
      </c>
      <c r="V104">
        <v>3203600</v>
      </c>
      <c r="W104" t="s">
        <v>492</v>
      </c>
      <c r="X104" t="s">
        <v>818</v>
      </c>
      <c r="Y104" t="s">
        <v>483</v>
      </c>
      <c r="Z104" t="s">
        <v>50</v>
      </c>
      <c r="AA104">
        <v>0</v>
      </c>
      <c r="AB104">
        <v>0</v>
      </c>
      <c r="AC104">
        <v>3304400</v>
      </c>
      <c r="AD104" t="s">
        <v>494</v>
      </c>
      <c r="AE104">
        <v>2</v>
      </c>
      <c r="AF104">
        <v>0</v>
      </c>
      <c r="AG104" t="s">
        <v>53</v>
      </c>
      <c r="AH104" t="s">
        <v>72</v>
      </c>
      <c r="AI104" t="s">
        <v>73</v>
      </c>
      <c r="AJ104" t="s">
        <v>74</v>
      </c>
      <c r="AK104" t="s">
        <v>485</v>
      </c>
      <c r="AL104">
        <v>0</v>
      </c>
      <c r="AM104">
        <v>0</v>
      </c>
      <c r="AN104" t="s">
        <v>50</v>
      </c>
      <c r="AO104" t="s">
        <v>483</v>
      </c>
      <c r="AP104" t="s">
        <v>492</v>
      </c>
      <c r="AR104" t="s">
        <v>818</v>
      </c>
      <c r="AS104">
        <v>3203600</v>
      </c>
      <c r="AT104" t="s">
        <v>83</v>
      </c>
      <c r="AU104">
        <v>2</v>
      </c>
    </row>
    <row r="105" spans="1:47" x14ac:dyDescent="0.3">
      <c r="A105" t="s">
        <v>819</v>
      </c>
      <c r="B105" t="s">
        <v>820</v>
      </c>
      <c r="C105" t="s">
        <v>489</v>
      </c>
      <c r="D105" t="s">
        <v>490</v>
      </c>
      <c r="E105" t="s">
        <v>80</v>
      </c>
      <c r="F105" t="s">
        <v>385</v>
      </c>
      <c r="G105">
        <v>1</v>
      </c>
      <c r="H105">
        <v>10</v>
      </c>
      <c r="I105" t="s">
        <v>47</v>
      </c>
      <c r="K105" t="s">
        <v>64</v>
      </c>
      <c r="L105" t="s">
        <v>48</v>
      </c>
      <c r="M105" t="s">
        <v>386</v>
      </c>
      <c r="N105">
        <v>3203600</v>
      </c>
      <c r="O105" t="s">
        <v>492</v>
      </c>
      <c r="Q105" t="s">
        <v>821</v>
      </c>
      <c r="R105" t="s">
        <v>483</v>
      </c>
      <c r="T105">
        <v>0</v>
      </c>
      <c r="U105">
        <v>0</v>
      </c>
      <c r="V105">
        <v>3203600</v>
      </c>
      <c r="W105" t="s">
        <v>492</v>
      </c>
      <c r="X105" t="s">
        <v>821</v>
      </c>
      <c r="Y105" t="s">
        <v>483</v>
      </c>
      <c r="Z105" t="s">
        <v>50</v>
      </c>
      <c r="AA105">
        <v>0</v>
      </c>
      <c r="AB105">
        <v>0</v>
      </c>
      <c r="AC105">
        <v>3304400</v>
      </c>
      <c r="AD105" t="s">
        <v>494</v>
      </c>
      <c r="AE105">
        <v>2</v>
      </c>
      <c r="AF105">
        <v>0</v>
      </c>
      <c r="AG105" t="s">
        <v>53</v>
      </c>
      <c r="AH105" t="s">
        <v>72</v>
      </c>
      <c r="AI105" t="s">
        <v>73</v>
      </c>
      <c r="AJ105" t="s">
        <v>74</v>
      </c>
      <c r="AK105" t="s">
        <v>485</v>
      </c>
      <c r="AL105">
        <v>0</v>
      </c>
      <c r="AM105">
        <v>0</v>
      </c>
      <c r="AN105" t="s">
        <v>50</v>
      </c>
      <c r="AO105" t="s">
        <v>483</v>
      </c>
      <c r="AP105" t="s">
        <v>492</v>
      </c>
      <c r="AR105" t="s">
        <v>821</v>
      </c>
      <c r="AS105">
        <v>3203600</v>
      </c>
      <c r="AT105" t="s">
        <v>83</v>
      </c>
      <c r="AU105">
        <v>2</v>
      </c>
    </row>
    <row r="106" spans="1:47" x14ac:dyDescent="0.3">
      <c r="A106" t="s">
        <v>822</v>
      </c>
      <c r="B106" t="s">
        <v>823</v>
      </c>
      <c r="C106" t="s">
        <v>489</v>
      </c>
      <c r="D106" t="s">
        <v>490</v>
      </c>
      <c r="E106" t="s">
        <v>497</v>
      </c>
      <c r="F106" t="s">
        <v>391</v>
      </c>
      <c r="G106">
        <v>1</v>
      </c>
      <c r="H106">
        <v>10</v>
      </c>
      <c r="I106" t="s">
        <v>47</v>
      </c>
      <c r="K106" t="s">
        <v>64</v>
      </c>
      <c r="L106" t="s">
        <v>81</v>
      </c>
      <c r="M106" t="s">
        <v>392</v>
      </c>
      <c r="N106">
        <v>3203600</v>
      </c>
      <c r="O106" t="s">
        <v>492</v>
      </c>
      <c r="Q106" t="s">
        <v>824</v>
      </c>
      <c r="R106" t="s">
        <v>483</v>
      </c>
      <c r="S106" t="s">
        <v>50</v>
      </c>
      <c r="T106">
        <v>0</v>
      </c>
      <c r="U106">
        <v>0</v>
      </c>
      <c r="V106">
        <v>3203600</v>
      </c>
      <c r="W106" t="s">
        <v>492</v>
      </c>
      <c r="X106" t="s">
        <v>824</v>
      </c>
      <c r="Y106" t="s">
        <v>483</v>
      </c>
      <c r="Z106" t="s">
        <v>50</v>
      </c>
      <c r="AA106">
        <v>0</v>
      </c>
      <c r="AB106">
        <v>0</v>
      </c>
      <c r="AC106">
        <v>3304400</v>
      </c>
      <c r="AD106" t="s">
        <v>494</v>
      </c>
      <c r="AE106">
        <v>2</v>
      </c>
      <c r="AF106">
        <v>0</v>
      </c>
      <c r="AG106" t="s">
        <v>53</v>
      </c>
      <c r="AH106" t="s">
        <v>72</v>
      </c>
      <c r="AI106" t="s">
        <v>73</v>
      </c>
      <c r="AJ106" t="s">
        <v>74</v>
      </c>
      <c r="AK106" t="s">
        <v>485</v>
      </c>
      <c r="AL106">
        <v>0</v>
      </c>
      <c r="AM106">
        <v>0</v>
      </c>
      <c r="AN106" t="s">
        <v>50</v>
      </c>
      <c r="AO106" t="s">
        <v>483</v>
      </c>
      <c r="AP106" t="s">
        <v>492</v>
      </c>
      <c r="AQ106" t="s">
        <v>486</v>
      </c>
      <c r="AR106" t="s">
        <v>824</v>
      </c>
      <c r="AS106">
        <v>3203600</v>
      </c>
      <c r="AT106" t="s">
        <v>980</v>
      </c>
      <c r="AU106">
        <v>2</v>
      </c>
    </row>
    <row r="107" spans="1:47" x14ac:dyDescent="0.3">
      <c r="A107" t="s">
        <v>825</v>
      </c>
      <c r="B107" t="s">
        <v>826</v>
      </c>
      <c r="C107" t="s">
        <v>489</v>
      </c>
      <c r="D107" t="s">
        <v>490</v>
      </c>
      <c r="E107" t="s">
        <v>491</v>
      </c>
      <c r="F107" t="s">
        <v>391</v>
      </c>
      <c r="G107">
        <v>1</v>
      </c>
      <c r="H107">
        <v>10</v>
      </c>
      <c r="I107" t="s">
        <v>47</v>
      </c>
      <c r="K107" t="s">
        <v>64</v>
      </c>
      <c r="L107" t="s">
        <v>48</v>
      </c>
      <c r="M107" t="s">
        <v>392</v>
      </c>
      <c r="N107">
        <v>3203600</v>
      </c>
      <c r="O107" t="s">
        <v>492</v>
      </c>
      <c r="Q107" t="s">
        <v>827</v>
      </c>
      <c r="R107" t="s">
        <v>483</v>
      </c>
      <c r="S107" t="s">
        <v>50</v>
      </c>
      <c r="T107">
        <v>0</v>
      </c>
      <c r="U107">
        <v>0</v>
      </c>
      <c r="V107">
        <v>3203600</v>
      </c>
      <c r="W107" t="s">
        <v>492</v>
      </c>
      <c r="X107" t="s">
        <v>827</v>
      </c>
      <c r="Y107" t="s">
        <v>483</v>
      </c>
      <c r="Z107" t="s">
        <v>50</v>
      </c>
      <c r="AA107">
        <v>0</v>
      </c>
      <c r="AB107">
        <v>0</v>
      </c>
      <c r="AC107">
        <v>3304400</v>
      </c>
      <c r="AD107" t="s">
        <v>494</v>
      </c>
      <c r="AE107">
        <v>2</v>
      </c>
      <c r="AF107">
        <v>0</v>
      </c>
      <c r="AG107" t="s">
        <v>53</v>
      </c>
      <c r="AH107" t="s">
        <v>72</v>
      </c>
      <c r="AI107" t="s">
        <v>73</v>
      </c>
      <c r="AJ107" t="s">
        <v>74</v>
      </c>
      <c r="AK107" t="s">
        <v>485</v>
      </c>
      <c r="AL107">
        <v>0</v>
      </c>
      <c r="AM107">
        <v>0</v>
      </c>
      <c r="AN107" t="s">
        <v>50</v>
      </c>
      <c r="AO107" t="s">
        <v>483</v>
      </c>
      <c r="AP107" t="s">
        <v>492</v>
      </c>
      <c r="AQ107" t="s">
        <v>486</v>
      </c>
      <c r="AR107" t="s">
        <v>827</v>
      </c>
      <c r="AS107">
        <v>3203600</v>
      </c>
      <c r="AT107" t="s">
        <v>983</v>
      </c>
      <c r="AU107">
        <v>2</v>
      </c>
    </row>
    <row r="108" spans="1:47" x14ac:dyDescent="0.3">
      <c r="A108" t="s">
        <v>828</v>
      </c>
      <c r="B108" t="s">
        <v>829</v>
      </c>
      <c r="C108" t="s">
        <v>489</v>
      </c>
      <c r="D108" t="s">
        <v>490</v>
      </c>
      <c r="E108" t="s">
        <v>80</v>
      </c>
      <c r="F108" t="s">
        <v>406</v>
      </c>
      <c r="G108">
        <v>1</v>
      </c>
      <c r="H108">
        <v>10</v>
      </c>
      <c r="I108" t="s">
        <v>47</v>
      </c>
      <c r="K108" t="s">
        <v>64</v>
      </c>
      <c r="L108" t="s">
        <v>48</v>
      </c>
      <c r="M108" t="s">
        <v>407</v>
      </c>
      <c r="N108">
        <v>3203600</v>
      </c>
      <c r="O108" t="s">
        <v>492</v>
      </c>
      <c r="Q108" t="s">
        <v>830</v>
      </c>
      <c r="R108" t="s">
        <v>483</v>
      </c>
      <c r="S108" t="s">
        <v>50</v>
      </c>
      <c r="T108">
        <v>0</v>
      </c>
      <c r="U108">
        <v>0</v>
      </c>
      <c r="V108">
        <v>3203600</v>
      </c>
      <c r="W108" t="s">
        <v>492</v>
      </c>
      <c r="X108" t="s">
        <v>830</v>
      </c>
      <c r="Y108" t="s">
        <v>483</v>
      </c>
      <c r="Z108" t="s">
        <v>50</v>
      </c>
      <c r="AA108">
        <v>0</v>
      </c>
      <c r="AB108">
        <v>0</v>
      </c>
      <c r="AC108">
        <v>3304400</v>
      </c>
      <c r="AD108" t="s">
        <v>494</v>
      </c>
      <c r="AE108">
        <v>2</v>
      </c>
      <c r="AF108">
        <v>0</v>
      </c>
      <c r="AG108" t="s">
        <v>53</v>
      </c>
      <c r="AH108" t="s">
        <v>72</v>
      </c>
      <c r="AI108" t="s">
        <v>73</v>
      </c>
      <c r="AJ108" t="s">
        <v>74</v>
      </c>
      <c r="AK108" t="s">
        <v>485</v>
      </c>
      <c r="AL108">
        <v>0</v>
      </c>
      <c r="AM108">
        <v>0</v>
      </c>
      <c r="AN108" t="s">
        <v>50</v>
      </c>
      <c r="AO108" t="s">
        <v>483</v>
      </c>
      <c r="AP108" t="s">
        <v>492</v>
      </c>
      <c r="AQ108" t="s">
        <v>486</v>
      </c>
      <c r="AR108" t="s">
        <v>830</v>
      </c>
      <c r="AS108">
        <v>3203600</v>
      </c>
      <c r="AT108" t="s">
        <v>83</v>
      </c>
      <c r="AU108">
        <v>2</v>
      </c>
    </row>
    <row r="109" spans="1:47" x14ac:dyDescent="0.3">
      <c r="A109" t="s">
        <v>831</v>
      </c>
      <c r="B109" t="s">
        <v>832</v>
      </c>
      <c r="C109" t="s">
        <v>516</v>
      </c>
      <c r="D109" t="s">
        <v>517</v>
      </c>
      <c r="E109" t="s">
        <v>62</v>
      </c>
      <c r="F109" t="s">
        <v>406</v>
      </c>
      <c r="G109">
        <v>1</v>
      </c>
      <c r="H109">
        <v>10</v>
      </c>
      <c r="I109" t="s">
        <v>47</v>
      </c>
      <c r="K109" t="s">
        <v>64</v>
      </c>
      <c r="L109" t="s">
        <v>48</v>
      </c>
      <c r="M109" t="s">
        <v>407</v>
      </c>
      <c r="N109">
        <v>3480300</v>
      </c>
      <c r="O109" t="s">
        <v>518</v>
      </c>
      <c r="Q109" t="s">
        <v>833</v>
      </c>
      <c r="R109" t="s">
        <v>483</v>
      </c>
      <c r="S109" t="s">
        <v>50</v>
      </c>
      <c r="T109">
        <v>0</v>
      </c>
      <c r="U109">
        <v>0</v>
      </c>
      <c r="V109">
        <v>3480300</v>
      </c>
      <c r="W109" t="s">
        <v>518</v>
      </c>
      <c r="X109" t="s">
        <v>833</v>
      </c>
      <c r="Y109" t="s">
        <v>483</v>
      </c>
      <c r="Z109" t="s">
        <v>50</v>
      </c>
      <c r="AA109">
        <v>0</v>
      </c>
      <c r="AB109">
        <v>0</v>
      </c>
      <c r="AC109">
        <v>3589900</v>
      </c>
      <c r="AD109" t="s">
        <v>520</v>
      </c>
      <c r="AE109">
        <v>2</v>
      </c>
      <c r="AF109">
        <v>0</v>
      </c>
      <c r="AG109" t="s">
        <v>53</v>
      </c>
      <c r="AH109" t="s">
        <v>72</v>
      </c>
      <c r="AI109" t="s">
        <v>73</v>
      </c>
      <c r="AJ109" t="s">
        <v>74</v>
      </c>
      <c r="AK109" t="s">
        <v>485</v>
      </c>
      <c r="AL109">
        <v>0</v>
      </c>
      <c r="AM109">
        <v>0</v>
      </c>
      <c r="AN109" t="s">
        <v>50</v>
      </c>
      <c r="AO109" t="s">
        <v>483</v>
      </c>
      <c r="AP109" t="s">
        <v>518</v>
      </c>
      <c r="AQ109" t="s">
        <v>486</v>
      </c>
      <c r="AR109" t="s">
        <v>833</v>
      </c>
      <c r="AS109">
        <v>3480300</v>
      </c>
      <c r="AT109" t="s">
        <v>83</v>
      </c>
      <c r="AU109">
        <v>2</v>
      </c>
    </row>
    <row r="110" spans="1:47" x14ac:dyDescent="0.3">
      <c r="A110" t="s">
        <v>834</v>
      </c>
      <c r="B110" t="s">
        <v>835</v>
      </c>
      <c r="C110" t="s">
        <v>489</v>
      </c>
      <c r="D110" t="s">
        <v>490</v>
      </c>
      <c r="E110" t="s">
        <v>80</v>
      </c>
      <c r="F110" t="s">
        <v>414</v>
      </c>
      <c r="G110">
        <v>1</v>
      </c>
      <c r="H110">
        <v>10</v>
      </c>
      <c r="I110" t="s">
        <v>47</v>
      </c>
      <c r="K110" t="s">
        <v>64</v>
      </c>
      <c r="L110" t="s">
        <v>81</v>
      </c>
      <c r="M110" t="s">
        <v>415</v>
      </c>
      <c r="N110">
        <v>3203600</v>
      </c>
      <c r="O110" t="s">
        <v>492</v>
      </c>
      <c r="Q110" t="s">
        <v>836</v>
      </c>
      <c r="R110" t="s">
        <v>483</v>
      </c>
      <c r="T110">
        <v>0</v>
      </c>
      <c r="U110">
        <v>0</v>
      </c>
      <c r="V110">
        <v>3203600</v>
      </c>
      <c r="W110" t="s">
        <v>492</v>
      </c>
      <c r="X110" t="s">
        <v>836</v>
      </c>
      <c r="Y110" t="s">
        <v>483</v>
      </c>
      <c r="Z110" t="s">
        <v>50</v>
      </c>
      <c r="AA110">
        <v>0</v>
      </c>
      <c r="AB110">
        <v>0</v>
      </c>
      <c r="AC110">
        <v>3304400</v>
      </c>
      <c r="AD110" t="s">
        <v>494</v>
      </c>
      <c r="AE110">
        <v>2</v>
      </c>
      <c r="AF110">
        <v>0</v>
      </c>
      <c r="AG110" t="s">
        <v>53</v>
      </c>
      <c r="AH110" t="s">
        <v>72</v>
      </c>
      <c r="AI110" t="s">
        <v>73</v>
      </c>
      <c r="AJ110" t="s">
        <v>74</v>
      </c>
      <c r="AK110" t="s">
        <v>485</v>
      </c>
      <c r="AL110">
        <v>0</v>
      </c>
      <c r="AM110">
        <v>0</v>
      </c>
      <c r="AN110" t="s">
        <v>50</v>
      </c>
      <c r="AO110" t="s">
        <v>483</v>
      </c>
      <c r="AP110" t="s">
        <v>492</v>
      </c>
      <c r="AR110" t="s">
        <v>836</v>
      </c>
      <c r="AS110">
        <v>3203600</v>
      </c>
      <c r="AT110" t="s">
        <v>83</v>
      </c>
      <c r="AU110">
        <v>2</v>
      </c>
    </row>
    <row r="111" spans="1:47" x14ac:dyDescent="0.3">
      <c r="A111" t="s">
        <v>837</v>
      </c>
      <c r="B111" t="s">
        <v>838</v>
      </c>
      <c r="C111" t="s">
        <v>489</v>
      </c>
      <c r="D111" t="s">
        <v>490</v>
      </c>
      <c r="E111" t="s">
        <v>80</v>
      </c>
      <c r="F111" t="s">
        <v>414</v>
      </c>
      <c r="G111">
        <v>1</v>
      </c>
      <c r="H111">
        <v>10</v>
      </c>
      <c r="I111" t="s">
        <v>47</v>
      </c>
      <c r="K111" t="s">
        <v>64</v>
      </c>
      <c r="L111" t="s">
        <v>48</v>
      </c>
      <c r="M111" t="s">
        <v>415</v>
      </c>
      <c r="N111">
        <v>3203600</v>
      </c>
      <c r="O111" t="s">
        <v>492</v>
      </c>
      <c r="Q111" t="s">
        <v>839</v>
      </c>
      <c r="R111" t="s">
        <v>483</v>
      </c>
      <c r="T111">
        <v>0</v>
      </c>
      <c r="U111">
        <v>0</v>
      </c>
      <c r="V111">
        <v>3203600</v>
      </c>
      <c r="W111" t="s">
        <v>492</v>
      </c>
      <c r="X111" t="s">
        <v>839</v>
      </c>
      <c r="Y111" t="s">
        <v>483</v>
      </c>
      <c r="Z111" t="s">
        <v>50</v>
      </c>
      <c r="AA111">
        <v>0</v>
      </c>
      <c r="AB111">
        <v>0</v>
      </c>
      <c r="AC111">
        <v>3304400</v>
      </c>
      <c r="AD111" t="s">
        <v>494</v>
      </c>
      <c r="AE111">
        <v>2</v>
      </c>
      <c r="AF111">
        <v>0</v>
      </c>
      <c r="AG111" t="s">
        <v>53</v>
      </c>
      <c r="AH111" t="s">
        <v>72</v>
      </c>
      <c r="AI111" t="s">
        <v>73</v>
      </c>
      <c r="AJ111" t="s">
        <v>74</v>
      </c>
      <c r="AK111" t="s">
        <v>485</v>
      </c>
      <c r="AL111">
        <v>0</v>
      </c>
      <c r="AM111">
        <v>0</v>
      </c>
      <c r="AN111" t="s">
        <v>50</v>
      </c>
      <c r="AO111" t="s">
        <v>483</v>
      </c>
      <c r="AP111" t="s">
        <v>492</v>
      </c>
      <c r="AR111" t="s">
        <v>839</v>
      </c>
      <c r="AS111">
        <v>3203600</v>
      </c>
      <c r="AT111" t="s">
        <v>83</v>
      </c>
      <c r="AU111">
        <v>2</v>
      </c>
    </row>
    <row r="112" spans="1:47" x14ac:dyDescent="0.3">
      <c r="A112" t="s">
        <v>840</v>
      </c>
      <c r="B112" t="s">
        <v>841</v>
      </c>
      <c r="C112" t="s">
        <v>516</v>
      </c>
      <c r="D112" t="s">
        <v>517</v>
      </c>
      <c r="E112" t="s">
        <v>62</v>
      </c>
      <c r="F112" t="s">
        <v>414</v>
      </c>
      <c r="G112">
        <v>1</v>
      </c>
      <c r="H112">
        <v>10</v>
      </c>
      <c r="I112" t="s">
        <v>47</v>
      </c>
      <c r="K112" t="s">
        <v>64</v>
      </c>
      <c r="L112" t="s">
        <v>48</v>
      </c>
      <c r="M112" t="s">
        <v>415</v>
      </c>
      <c r="N112">
        <v>3480300</v>
      </c>
      <c r="O112" t="s">
        <v>518</v>
      </c>
      <c r="Q112" t="s">
        <v>842</v>
      </c>
      <c r="R112" t="s">
        <v>483</v>
      </c>
      <c r="T112">
        <v>0</v>
      </c>
      <c r="U112">
        <v>0</v>
      </c>
      <c r="V112">
        <v>3480300</v>
      </c>
      <c r="W112" t="s">
        <v>518</v>
      </c>
      <c r="X112" t="s">
        <v>842</v>
      </c>
      <c r="Y112" t="s">
        <v>483</v>
      </c>
      <c r="Z112" t="s">
        <v>50</v>
      </c>
      <c r="AA112">
        <v>0</v>
      </c>
      <c r="AB112">
        <v>0</v>
      </c>
      <c r="AC112">
        <v>3589900</v>
      </c>
      <c r="AD112" t="s">
        <v>520</v>
      </c>
      <c r="AE112">
        <v>2</v>
      </c>
      <c r="AF112">
        <v>0</v>
      </c>
      <c r="AG112" t="s">
        <v>53</v>
      </c>
      <c r="AH112" t="s">
        <v>72</v>
      </c>
      <c r="AI112" t="s">
        <v>73</v>
      </c>
      <c r="AJ112" t="s">
        <v>74</v>
      </c>
      <c r="AK112" t="s">
        <v>485</v>
      </c>
      <c r="AL112">
        <v>0</v>
      </c>
      <c r="AM112">
        <v>0</v>
      </c>
      <c r="AN112" t="s">
        <v>50</v>
      </c>
      <c r="AO112" t="s">
        <v>483</v>
      </c>
      <c r="AP112" t="s">
        <v>518</v>
      </c>
      <c r="AR112" t="s">
        <v>842</v>
      </c>
      <c r="AS112">
        <v>3480300</v>
      </c>
      <c r="AT112" t="s">
        <v>83</v>
      </c>
      <c r="AU112">
        <v>2</v>
      </c>
    </row>
    <row r="113" spans="1:47" x14ac:dyDescent="0.3">
      <c r="A113" t="s">
        <v>843</v>
      </c>
      <c r="B113" t="s">
        <v>844</v>
      </c>
      <c r="C113" t="s">
        <v>489</v>
      </c>
      <c r="D113" t="s">
        <v>490</v>
      </c>
      <c r="E113" t="s">
        <v>845</v>
      </c>
      <c r="F113" t="s">
        <v>414</v>
      </c>
      <c r="G113">
        <v>1</v>
      </c>
      <c r="H113">
        <v>10</v>
      </c>
      <c r="I113" t="s">
        <v>47</v>
      </c>
      <c r="K113" t="s">
        <v>64</v>
      </c>
      <c r="L113" t="s">
        <v>48</v>
      </c>
      <c r="M113" t="s">
        <v>415</v>
      </c>
      <c r="N113">
        <v>3203600</v>
      </c>
      <c r="O113" t="s">
        <v>492</v>
      </c>
      <c r="Q113" t="s">
        <v>846</v>
      </c>
      <c r="R113" t="s">
        <v>483</v>
      </c>
      <c r="T113">
        <v>0</v>
      </c>
      <c r="U113">
        <v>0</v>
      </c>
      <c r="V113">
        <v>3203600</v>
      </c>
      <c r="W113" t="s">
        <v>492</v>
      </c>
      <c r="X113" t="s">
        <v>846</v>
      </c>
      <c r="Y113" t="s">
        <v>483</v>
      </c>
      <c r="Z113" t="s">
        <v>50</v>
      </c>
      <c r="AA113">
        <v>0</v>
      </c>
      <c r="AB113">
        <v>0</v>
      </c>
      <c r="AC113">
        <v>3304400</v>
      </c>
      <c r="AD113" t="s">
        <v>494</v>
      </c>
      <c r="AE113">
        <v>2</v>
      </c>
      <c r="AF113">
        <v>0</v>
      </c>
      <c r="AG113" t="s">
        <v>53</v>
      </c>
      <c r="AH113" t="s">
        <v>72</v>
      </c>
      <c r="AI113" t="s">
        <v>73</v>
      </c>
      <c r="AJ113" t="s">
        <v>74</v>
      </c>
      <c r="AK113" t="s">
        <v>485</v>
      </c>
      <c r="AL113">
        <v>0</v>
      </c>
      <c r="AM113">
        <v>0</v>
      </c>
      <c r="AN113" t="s">
        <v>50</v>
      </c>
      <c r="AO113" t="s">
        <v>483</v>
      </c>
      <c r="AP113" t="s">
        <v>492</v>
      </c>
      <c r="AR113" t="s">
        <v>846</v>
      </c>
      <c r="AS113">
        <v>3203600</v>
      </c>
      <c r="AT113" t="s">
        <v>83</v>
      </c>
      <c r="AU113">
        <v>2</v>
      </c>
    </row>
    <row r="114" spans="1:47" x14ac:dyDescent="0.3">
      <c r="A114" t="s">
        <v>847</v>
      </c>
      <c r="B114" t="s">
        <v>848</v>
      </c>
      <c r="C114" t="s">
        <v>516</v>
      </c>
      <c r="D114" t="s">
        <v>517</v>
      </c>
      <c r="E114" t="s">
        <v>62</v>
      </c>
      <c r="F114" t="s">
        <v>414</v>
      </c>
      <c r="G114">
        <v>1</v>
      </c>
      <c r="H114">
        <v>10</v>
      </c>
      <c r="I114" t="s">
        <v>47</v>
      </c>
      <c r="K114" t="s">
        <v>64</v>
      </c>
      <c r="L114" t="s">
        <v>48</v>
      </c>
      <c r="M114" t="s">
        <v>415</v>
      </c>
      <c r="N114">
        <v>3480300</v>
      </c>
      <c r="O114" t="s">
        <v>518</v>
      </c>
      <c r="Q114" t="s">
        <v>849</v>
      </c>
      <c r="R114" t="s">
        <v>483</v>
      </c>
      <c r="T114">
        <v>0</v>
      </c>
      <c r="U114">
        <v>0</v>
      </c>
      <c r="V114">
        <v>3480300</v>
      </c>
      <c r="W114" t="s">
        <v>518</v>
      </c>
      <c r="X114" t="s">
        <v>849</v>
      </c>
      <c r="Y114" t="s">
        <v>483</v>
      </c>
      <c r="Z114" t="s">
        <v>50</v>
      </c>
      <c r="AA114">
        <v>0</v>
      </c>
      <c r="AB114">
        <v>0</v>
      </c>
      <c r="AC114">
        <v>3589900</v>
      </c>
      <c r="AD114" t="s">
        <v>520</v>
      </c>
      <c r="AE114">
        <v>2</v>
      </c>
      <c r="AF114">
        <v>0</v>
      </c>
      <c r="AG114" t="s">
        <v>53</v>
      </c>
      <c r="AH114" t="s">
        <v>72</v>
      </c>
      <c r="AI114" t="s">
        <v>73</v>
      </c>
      <c r="AJ114" t="s">
        <v>74</v>
      </c>
      <c r="AK114" t="s">
        <v>485</v>
      </c>
      <c r="AL114">
        <v>0</v>
      </c>
      <c r="AM114">
        <v>0</v>
      </c>
      <c r="AN114" t="s">
        <v>50</v>
      </c>
      <c r="AO114" t="s">
        <v>483</v>
      </c>
      <c r="AP114" t="s">
        <v>518</v>
      </c>
      <c r="AR114" t="s">
        <v>849</v>
      </c>
      <c r="AS114">
        <v>3480300</v>
      </c>
      <c r="AT114" t="s">
        <v>83</v>
      </c>
      <c r="AU114">
        <v>2</v>
      </c>
    </row>
    <row r="115" spans="1:47" x14ac:dyDescent="0.3">
      <c r="A115" t="s">
        <v>850</v>
      </c>
      <c r="B115" t="s">
        <v>851</v>
      </c>
      <c r="C115" t="s">
        <v>477</v>
      </c>
      <c r="D115" t="s">
        <v>478</v>
      </c>
      <c r="E115" t="s">
        <v>558</v>
      </c>
      <c r="F115" t="s">
        <v>852</v>
      </c>
      <c r="G115">
        <v>1</v>
      </c>
      <c r="H115">
        <v>10</v>
      </c>
      <c r="I115" t="s">
        <v>47</v>
      </c>
      <c r="K115" t="s">
        <v>64</v>
      </c>
      <c r="L115" t="s">
        <v>48</v>
      </c>
      <c r="M115" t="s">
        <v>853</v>
      </c>
      <c r="N115">
        <v>2858800</v>
      </c>
      <c r="O115" t="s">
        <v>481</v>
      </c>
      <c r="Q115" t="s">
        <v>854</v>
      </c>
      <c r="R115" t="s">
        <v>483</v>
      </c>
      <c r="S115" t="s">
        <v>50</v>
      </c>
      <c r="T115">
        <v>0</v>
      </c>
      <c r="U115">
        <v>0</v>
      </c>
      <c r="V115">
        <v>2858800</v>
      </c>
      <c r="W115" t="s">
        <v>481</v>
      </c>
      <c r="X115" t="s">
        <v>854</v>
      </c>
      <c r="Y115" t="s">
        <v>483</v>
      </c>
      <c r="Z115" t="s">
        <v>50</v>
      </c>
      <c r="AA115">
        <v>0</v>
      </c>
      <c r="AB115">
        <v>0</v>
      </c>
      <c r="AC115">
        <v>2948800</v>
      </c>
      <c r="AD115" t="s">
        <v>484</v>
      </c>
      <c r="AE115">
        <v>5</v>
      </c>
      <c r="AF115">
        <v>0</v>
      </c>
      <c r="AG115" t="s">
        <v>53</v>
      </c>
      <c r="AH115" t="s">
        <v>72</v>
      </c>
      <c r="AI115" t="s">
        <v>73</v>
      </c>
      <c r="AJ115" t="s">
        <v>74</v>
      </c>
      <c r="AK115" t="s">
        <v>485</v>
      </c>
      <c r="AL115">
        <v>3</v>
      </c>
      <c r="AM115">
        <v>0</v>
      </c>
      <c r="AN115" t="s">
        <v>50</v>
      </c>
      <c r="AO115" t="s">
        <v>483</v>
      </c>
      <c r="AP115" t="s">
        <v>481</v>
      </c>
      <c r="AQ115" t="s">
        <v>486</v>
      </c>
      <c r="AR115" t="s">
        <v>854</v>
      </c>
      <c r="AS115">
        <v>2858800</v>
      </c>
      <c r="AT115" t="s">
        <v>83</v>
      </c>
      <c r="AU115">
        <v>2</v>
      </c>
    </row>
    <row r="116" spans="1:47" x14ac:dyDescent="0.3">
      <c r="A116" t="s">
        <v>855</v>
      </c>
      <c r="B116" t="s">
        <v>856</v>
      </c>
      <c r="C116" t="s">
        <v>489</v>
      </c>
      <c r="D116" t="s">
        <v>490</v>
      </c>
      <c r="E116" t="s">
        <v>80</v>
      </c>
      <c r="F116" t="s">
        <v>852</v>
      </c>
      <c r="G116">
        <v>1</v>
      </c>
      <c r="H116">
        <v>10</v>
      </c>
      <c r="I116" t="s">
        <v>47</v>
      </c>
      <c r="K116" t="s">
        <v>64</v>
      </c>
      <c r="L116" t="s">
        <v>81</v>
      </c>
      <c r="M116" t="s">
        <v>853</v>
      </c>
      <c r="N116">
        <v>3203600</v>
      </c>
      <c r="O116" t="s">
        <v>492</v>
      </c>
      <c r="Q116" t="s">
        <v>857</v>
      </c>
      <c r="R116" t="s">
        <v>483</v>
      </c>
      <c r="S116" t="s">
        <v>50</v>
      </c>
      <c r="T116">
        <v>0</v>
      </c>
      <c r="U116">
        <v>0</v>
      </c>
      <c r="V116">
        <v>3203600</v>
      </c>
      <c r="W116" t="s">
        <v>492</v>
      </c>
      <c r="X116" t="s">
        <v>857</v>
      </c>
      <c r="Y116" t="s">
        <v>483</v>
      </c>
      <c r="Z116" t="s">
        <v>50</v>
      </c>
      <c r="AA116">
        <v>0</v>
      </c>
      <c r="AB116">
        <v>0</v>
      </c>
      <c r="AC116">
        <v>3304400</v>
      </c>
      <c r="AD116" t="s">
        <v>494</v>
      </c>
      <c r="AE116">
        <v>2</v>
      </c>
      <c r="AF116">
        <v>0</v>
      </c>
      <c r="AG116" t="s">
        <v>53</v>
      </c>
      <c r="AH116" t="s">
        <v>72</v>
      </c>
      <c r="AI116" t="s">
        <v>73</v>
      </c>
      <c r="AJ116" t="s">
        <v>74</v>
      </c>
      <c r="AK116" t="s">
        <v>485</v>
      </c>
      <c r="AL116">
        <v>0</v>
      </c>
      <c r="AM116">
        <v>0</v>
      </c>
      <c r="AN116" t="s">
        <v>50</v>
      </c>
      <c r="AO116" t="s">
        <v>483</v>
      </c>
      <c r="AP116" t="s">
        <v>492</v>
      </c>
      <c r="AQ116" t="s">
        <v>486</v>
      </c>
      <c r="AR116" t="s">
        <v>857</v>
      </c>
      <c r="AS116">
        <v>3203600</v>
      </c>
      <c r="AT116" t="s">
        <v>83</v>
      </c>
      <c r="AU116">
        <v>2</v>
      </c>
    </row>
    <row r="117" spans="1:47" x14ac:dyDescent="0.3">
      <c r="A117" t="s">
        <v>858</v>
      </c>
      <c r="B117" t="s">
        <v>859</v>
      </c>
      <c r="C117" t="s">
        <v>516</v>
      </c>
      <c r="D117" t="s">
        <v>517</v>
      </c>
      <c r="E117" t="s">
        <v>62</v>
      </c>
      <c r="F117" t="s">
        <v>852</v>
      </c>
      <c r="G117">
        <v>1</v>
      </c>
      <c r="H117">
        <v>10</v>
      </c>
      <c r="I117" t="s">
        <v>47</v>
      </c>
      <c r="K117" t="s">
        <v>64</v>
      </c>
      <c r="L117" t="s">
        <v>48</v>
      </c>
      <c r="M117" t="s">
        <v>853</v>
      </c>
      <c r="N117">
        <v>3480300</v>
      </c>
      <c r="O117" t="s">
        <v>518</v>
      </c>
      <c r="Q117" t="s">
        <v>860</v>
      </c>
      <c r="R117" t="s">
        <v>483</v>
      </c>
      <c r="S117" t="s">
        <v>50</v>
      </c>
      <c r="T117">
        <v>0</v>
      </c>
      <c r="U117">
        <v>0</v>
      </c>
      <c r="V117">
        <v>3480300</v>
      </c>
      <c r="W117" t="s">
        <v>518</v>
      </c>
      <c r="X117" t="s">
        <v>860</v>
      </c>
      <c r="Y117" t="s">
        <v>483</v>
      </c>
      <c r="Z117" t="s">
        <v>50</v>
      </c>
      <c r="AA117">
        <v>0</v>
      </c>
      <c r="AB117">
        <v>0</v>
      </c>
      <c r="AC117">
        <v>3589900</v>
      </c>
      <c r="AD117" t="s">
        <v>520</v>
      </c>
      <c r="AE117">
        <v>2</v>
      </c>
      <c r="AF117">
        <v>0</v>
      </c>
      <c r="AG117" t="s">
        <v>53</v>
      </c>
      <c r="AH117" t="s">
        <v>72</v>
      </c>
      <c r="AI117" t="s">
        <v>73</v>
      </c>
      <c r="AJ117" t="s">
        <v>74</v>
      </c>
      <c r="AK117" t="s">
        <v>485</v>
      </c>
      <c r="AL117">
        <v>0</v>
      </c>
      <c r="AM117">
        <v>0</v>
      </c>
      <c r="AN117" t="s">
        <v>50</v>
      </c>
      <c r="AO117" t="s">
        <v>483</v>
      </c>
      <c r="AP117" t="s">
        <v>518</v>
      </c>
      <c r="AQ117" t="s">
        <v>486</v>
      </c>
      <c r="AR117" t="s">
        <v>860</v>
      </c>
      <c r="AS117">
        <v>3480300</v>
      </c>
      <c r="AT117" t="s">
        <v>83</v>
      </c>
      <c r="AU117">
        <v>2</v>
      </c>
    </row>
    <row r="118" spans="1:47" x14ac:dyDescent="0.3">
      <c r="A118" t="s">
        <v>861</v>
      </c>
      <c r="B118" t="s">
        <v>862</v>
      </c>
      <c r="C118" t="s">
        <v>489</v>
      </c>
      <c r="D118" t="s">
        <v>490</v>
      </c>
      <c r="E118" t="s">
        <v>80</v>
      </c>
      <c r="F118" t="s">
        <v>852</v>
      </c>
      <c r="G118">
        <v>1</v>
      </c>
      <c r="H118">
        <v>10</v>
      </c>
      <c r="I118" t="s">
        <v>47</v>
      </c>
      <c r="K118" t="s">
        <v>64</v>
      </c>
      <c r="L118" t="s">
        <v>81</v>
      </c>
      <c r="M118" t="s">
        <v>853</v>
      </c>
      <c r="N118">
        <v>3203600</v>
      </c>
      <c r="O118" t="s">
        <v>492</v>
      </c>
      <c r="Q118" t="s">
        <v>863</v>
      </c>
      <c r="R118" t="s">
        <v>483</v>
      </c>
      <c r="S118" t="s">
        <v>50</v>
      </c>
      <c r="T118">
        <v>0</v>
      </c>
      <c r="U118">
        <v>0</v>
      </c>
      <c r="V118">
        <v>3203600</v>
      </c>
      <c r="W118" t="s">
        <v>492</v>
      </c>
      <c r="X118" t="s">
        <v>863</v>
      </c>
      <c r="Y118" t="s">
        <v>483</v>
      </c>
      <c r="Z118" t="s">
        <v>50</v>
      </c>
      <c r="AA118">
        <v>0</v>
      </c>
      <c r="AB118">
        <v>0</v>
      </c>
      <c r="AC118">
        <v>3304400</v>
      </c>
      <c r="AD118" t="s">
        <v>494</v>
      </c>
      <c r="AE118">
        <v>2</v>
      </c>
      <c r="AF118">
        <v>0</v>
      </c>
      <c r="AG118" t="s">
        <v>53</v>
      </c>
      <c r="AH118" t="s">
        <v>72</v>
      </c>
      <c r="AI118" t="s">
        <v>73</v>
      </c>
      <c r="AJ118" t="s">
        <v>74</v>
      </c>
      <c r="AK118" t="s">
        <v>485</v>
      </c>
      <c r="AL118">
        <v>0</v>
      </c>
      <c r="AM118">
        <v>0</v>
      </c>
      <c r="AN118" t="s">
        <v>50</v>
      </c>
      <c r="AO118" t="s">
        <v>483</v>
      </c>
      <c r="AP118" t="s">
        <v>492</v>
      </c>
      <c r="AQ118" t="s">
        <v>486</v>
      </c>
      <c r="AR118" t="s">
        <v>863</v>
      </c>
      <c r="AS118">
        <v>3203600</v>
      </c>
      <c r="AT118" t="s">
        <v>83</v>
      </c>
      <c r="AU118">
        <v>2</v>
      </c>
    </row>
    <row r="119" spans="1:47" x14ac:dyDescent="0.3">
      <c r="A119" t="s">
        <v>864</v>
      </c>
      <c r="B119" t="s">
        <v>865</v>
      </c>
      <c r="C119" t="s">
        <v>516</v>
      </c>
      <c r="D119" t="s">
        <v>517</v>
      </c>
      <c r="E119" t="s">
        <v>62</v>
      </c>
      <c r="F119" t="s">
        <v>852</v>
      </c>
      <c r="G119">
        <v>1</v>
      </c>
      <c r="H119">
        <v>10</v>
      </c>
      <c r="I119" t="s">
        <v>47</v>
      </c>
      <c r="K119" t="s">
        <v>64</v>
      </c>
      <c r="L119" t="s">
        <v>48</v>
      </c>
      <c r="M119" t="s">
        <v>853</v>
      </c>
      <c r="N119">
        <v>3480300</v>
      </c>
      <c r="O119" t="s">
        <v>518</v>
      </c>
      <c r="Q119" t="s">
        <v>866</v>
      </c>
      <c r="R119" t="s">
        <v>483</v>
      </c>
      <c r="T119">
        <v>0</v>
      </c>
      <c r="U119">
        <v>0</v>
      </c>
      <c r="V119">
        <v>3480300</v>
      </c>
      <c r="W119" t="s">
        <v>518</v>
      </c>
      <c r="X119" t="s">
        <v>866</v>
      </c>
      <c r="Y119" t="s">
        <v>483</v>
      </c>
      <c r="Z119" t="s">
        <v>50</v>
      </c>
      <c r="AA119">
        <v>0</v>
      </c>
      <c r="AB119">
        <v>0</v>
      </c>
      <c r="AC119">
        <v>3589900</v>
      </c>
      <c r="AD119" t="s">
        <v>520</v>
      </c>
      <c r="AE119">
        <v>2</v>
      </c>
      <c r="AF119">
        <v>0</v>
      </c>
      <c r="AG119" t="s">
        <v>53</v>
      </c>
      <c r="AH119" t="s">
        <v>72</v>
      </c>
      <c r="AI119" t="s">
        <v>73</v>
      </c>
      <c r="AJ119" t="s">
        <v>74</v>
      </c>
      <c r="AK119" t="s">
        <v>485</v>
      </c>
      <c r="AL119">
        <v>0</v>
      </c>
      <c r="AM119">
        <v>0</v>
      </c>
      <c r="AN119" t="s">
        <v>50</v>
      </c>
      <c r="AO119" t="s">
        <v>483</v>
      </c>
      <c r="AP119" t="s">
        <v>518</v>
      </c>
      <c r="AR119" t="s">
        <v>866</v>
      </c>
      <c r="AS119">
        <v>3480300</v>
      </c>
      <c r="AT119" t="s">
        <v>83</v>
      </c>
      <c r="AU119">
        <v>2</v>
      </c>
    </row>
    <row r="120" spans="1:47" x14ac:dyDescent="0.3">
      <c r="A120" t="s">
        <v>867</v>
      </c>
      <c r="B120" t="s">
        <v>868</v>
      </c>
      <c r="C120" t="s">
        <v>516</v>
      </c>
      <c r="D120" t="s">
        <v>517</v>
      </c>
      <c r="E120" t="s">
        <v>62</v>
      </c>
      <c r="F120" t="s">
        <v>852</v>
      </c>
      <c r="G120">
        <v>1</v>
      </c>
      <c r="H120">
        <v>10</v>
      </c>
      <c r="I120" t="s">
        <v>47</v>
      </c>
      <c r="K120" t="s">
        <v>64</v>
      </c>
      <c r="L120" t="s">
        <v>48</v>
      </c>
      <c r="M120" t="s">
        <v>853</v>
      </c>
      <c r="N120">
        <v>3480300</v>
      </c>
      <c r="O120" t="s">
        <v>518</v>
      </c>
      <c r="Q120" t="s">
        <v>869</v>
      </c>
      <c r="R120" t="s">
        <v>483</v>
      </c>
      <c r="S120" t="s">
        <v>50</v>
      </c>
      <c r="T120">
        <v>0</v>
      </c>
      <c r="U120">
        <v>0</v>
      </c>
      <c r="V120">
        <v>3480300</v>
      </c>
      <c r="W120" t="s">
        <v>518</v>
      </c>
      <c r="X120" t="s">
        <v>869</v>
      </c>
      <c r="Y120" t="s">
        <v>483</v>
      </c>
      <c r="Z120" t="s">
        <v>50</v>
      </c>
      <c r="AA120">
        <v>0</v>
      </c>
      <c r="AB120">
        <v>0</v>
      </c>
      <c r="AC120">
        <v>3589900</v>
      </c>
      <c r="AD120" t="s">
        <v>520</v>
      </c>
      <c r="AE120">
        <v>2</v>
      </c>
      <c r="AF120">
        <v>0</v>
      </c>
      <c r="AG120" t="s">
        <v>53</v>
      </c>
      <c r="AH120" t="s">
        <v>72</v>
      </c>
      <c r="AI120" t="s">
        <v>73</v>
      </c>
      <c r="AJ120" t="s">
        <v>74</v>
      </c>
      <c r="AK120" t="s">
        <v>485</v>
      </c>
      <c r="AL120">
        <v>0</v>
      </c>
      <c r="AM120">
        <v>0</v>
      </c>
      <c r="AN120" t="s">
        <v>50</v>
      </c>
      <c r="AO120" t="s">
        <v>483</v>
      </c>
      <c r="AP120" t="s">
        <v>518</v>
      </c>
      <c r="AQ120" t="s">
        <v>486</v>
      </c>
      <c r="AR120" t="s">
        <v>869</v>
      </c>
      <c r="AS120">
        <v>3480300</v>
      </c>
      <c r="AT120" t="s">
        <v>83</v>
      </c>
      <c r="AU120">
        <v>2</v>
      </c>
    </row>
    <row r="121" spans="1:47" x14ac:dyDescent="0.3">
      <c r="A121" t="s">
        <v>870</v>
      </c>
      <c r="B121" t="s">
        <v>871</v>
      </c>
      <c r="C121" t="s">
        <v>477</v>
      </c>
      <c r="D121" t="s">
        <v>478</v>
      </c>
      <c r="E121" t="s">
        <v>558</v>
      </c>
      <c r="F121" t="s">
        <v>872</v>
      </c>
      <c r="G121">
        <v>1</v>
      </c>
      <c r="H121">
        <v>10</v>
      </c>
      <c r="I121" t="s">
        <v>47</v>
      </c>
      <c r="K121" t="s">
        <v>64</v>
      </c>
      <c r="L121" t="s">
        <v>48</v>
      </c>
      <c r="M121" t="s">
        <v>873</v>
      </c>
      <c r="N121">
        <v>2858800</v>
      </c>
      <c r="O121" t="s">
        <v>481</v>
      </c>
      <c r="Q121" t="s">
        <v>874</v>
      </c>
      <c r="R121" t="s">
        <v>483</v>
      </c>
      <c r="S121" t="s">
        <v>50</v>
      </c>
      <c r="T121">
        <v>0</v>
      </c>
      <c r="U121">
        <v>0</v>
      </c>
      <c r="V121">
        <v>2858800</v>
      </c>
      <c r="W121" t="s">
        <v>481</v>
      </c>
      <c r="X121" t="s">
        <v>874</v>
      </c>
      <c r="Y121" t="s">
        <v>483</v>
      </c>
      <c r="Z121" t="s">
        <v>50</v>
      </c>
      <c r="AA121">
        <v>0</v>
      </c>
      <c r="AB121">
        <v>0</v>
      </c>
      <c r="AC121">
        <v>2948800</v>
      </c>
      <c r="AD121" t="s">
        <v>484</v>
      </c>
      <c r="AE121">
        <v>5</v>
      </c>
      <c r="AF121">
        <v>0</v>
      </c>
      <c r="AG121" t="s">
        <v>53</v>
      </c>
      <c r="AH121" t="s">
        <v>72</v>
      </c>
      <c r="AI121" t="s">
        <v>73</v>
      </c>
      <c r="AJ121" t="s">
        <v>74</v>
      </c>
      <c r="AK121" t="s">
        <v>485</v>
      </c>
      <c r="AL121">
        <v>3</v>
      </c>
      <c r="AM121">
        <v>0</v>
      </c>
      <c r="AN121" t="s">
        <v>50</v>
      </c>
      <c r="AO121" t="s">
        <v>483</v>
      </c>
      <c r="AP121" t="s">
        <v>481</v>
      </c>
      <c r="AQ121" t="s">
        <v>486</v>
      </c>
      <c r="AR121" t="s">
        <v>874</v>
      </c>
      <c r="AS121">
        <v>2858800</v>
      </c>
      <c r="AT121" t="s">
        <v>83</v>
      </c>
      <c r="AU121">
        <v>2</v>
      </c>
    </row>
    <row r="122" spans="1:47" x14ac:dyDescent="0.3">
      <c r="A122" t="s">
        <v>875</v>
      </c>
      <c r="B122" t="s">
        <v>876</v>
      </c>
      <c r="C122" t="s">
        <v>477</v>
      </c>
      <c r="D122" t="s">
        <v>478</v>
      </c>
      <c r="E122" t="s">
        <v>558</v>
      </c>
      <c r="F122" t="s">
        <v>872</v>
      </c>
      <c r="G122">
        <v>1</v>
      </c>
      <c r="H122">
        <v>10</v>
      </c>
      <c r="I122" t="s">
        <v>47</v>
      </c>
      <c r="K122" t="s">
        <v>64</v>
      </c>
      <c r="L122" t="s">
        <v>48</v>
      </c>
      <c r="M122" t="s">
        <v>873</v>
      </c>
      <c r="N122">
        <v>2858800</v>
      </c>
      <c r="O122" t="s">
        <v>481</v>
      </c>
      <c r="Q122" t="s">
        <v>877</v>
      </c>
      <c r="R122" t="s">
        <v>483</v>
      </c>
      <c r="S122" t="s">
        <v>50</v>
      </c>
      <c r="T122">
        <v>0</v>
      </c>
      <c r="U122">
        <v>0</v>
      </c>
      <c r="V122">
        <v>2858800</v>
      </c>
      <c r="W122" t="s">
        <v>481</v>
      </c>
      <c r="X122" t="s">
        <v>877</v>
      </c>
      <c r="Y122" t="s">
        <v>483</v>
      </c>
      <c r="Z122" t="s">
        <v>50</v>
      </c>
      <c r="AA122">
        <v>0</v>
      </c>
      <c r="AB122">
        <v>0</v>
      </c>
      <c r="AC122">
        <v>2948800</v>
      </c>
      <c r="AD122" t="s">
        <v>484</v>
      </c>
      <c r="AE122">
        <v>5</v>
      </c>
      <c r="AF122">
        <v>0</v>
      </c>
      <c r="AG122" t="s">
        <v>53</v>
      </c>
      <c r="AH122" t="s">
        <v>72</v>
      </c>
      <c r="AI122" t="s">
        <v>73</v>
      </c>
      <c r="AJ122" t="s">
        <v>74</v>
      </c>
      <c r="AK122" t="s">
        <v>485</v>
      </c>
      <c r="AL122">
        <v>3</v>
      </c>
      <c r="AM122">
        <v>0</v>
      </c>
      <c r="AN122" t="s">
        <v>50</v>
      </c>
      <c r="AO122" t="s">
        <v>483</v>
      </c>
      <c r="AP122" t="s">
        <v>481</v>
      </c>
      <c r="AQ122" t="s">
        <v>486</v>
      </c>
      <c r="AR122" t="s">
        <v>877</v>
      </c>
      <c r="AS122">
        <v>2858800</v>
      </c>
      <c r="AT122" t="s">
        <v>83</v>
      </c>
      <c r="AU122">
        <v>2</v>
      </c>
    </row>
    <row r="123" spans="1:47" x14ac:dyDescent="0.3">
      <c r="A123" t="s">
        <v>878</v>
      </c>
      <c r="B123" t="s">
        <v>879</v>
      </c>
      <c r="C123" t="s">
        <v>489</v>
      </c>
      <c r="D123" t="s">
        <v>490</v>
      </c>
      <c r="E123" t="s">
        <v>80</v>
      </c>
      <c r="F123" t="s">
        <v>872</v>
      </c>
      <c r="G123">
        <v>1</v>
      </c>
      <c r="H123">
        <v>10</v>
      </c>
      <c r="I123" t="s">
        <v>47</v>
      </c>
      <c r="K123" t="s">
        <v>64</v>
      </c>
      <c r="L123" t="s">
        <v>81</v>
      </c>
      <c r="M123" t="s">
        <v>873</v>
      </c>
      <c r="N123">
        <v>3203600</v>
      </c>
      <c r="O123" t="s">
        <v>492</v>
      </c>
      <c r="Q123" t="s">
        <v>880</v>
      </c>
      <c r="R123" t="s">
        <v>483</v>
      </c>
      <c r="S123" t="s">
        <v>50</v>
      </c>
      <c r="T123">
        <v>0</v>
      </c>
      <c r="U123">
        <v>0</v>
      </c>
      <c r="V123">
        <v>3203600</v>
      </c>
      <c r="W123" t="s">
        <v>492</v>
      </c>
      <c r="X123" t="s">
        <v>880</v>
      </c>
      <c r="Y123" t="s">
        <v>483</v>
      </c>
      <c r="Z123" t="s">
        <v>50</v>
      </c>
      <c r="AA123">
        <v>0</v>
      </c>
      <c r="AB123">
        <v>0</v>
      </c>
      <c r="AC123">
        <v>3304400</v>
      </c>
      <c r="AD123" t="s">
        <v>494</v>
      </c>
      <c r="AE123">
        <v>2</v>
      </c>
      <c r="AF123">
        <v>0</v>
      </c>
      <c r="AG123" t="s">
        <v>53</v>
      </c>
      <c r="AH123" t="s">
        <v>72</v>
      </c>
      <c r="AI123" t="s">
        <v>73</v>
      </c>
      <c r="AJ123" t="s">
        <v>74</v>
      </c>
      <c r="AK123" t="s">
        <v>485</v>
      </c>
      <c r="AL123">
        <v>0</v>
      </c>
      <c r="AM123">
        <v>0</v>
      </c>
      <c r="AN123" t="s">
        <v>50</v>
      </c>
      <c r="AO123" t="s">
        <v>483</v>
      </c>
      <c r="AP123" t="s">
        <v>492</v>
      </c>
      <c r="AQ123" t="s">
        <v>486</v>
      </c>
      <c r="AR123" t="s">
        <v>880</v>
      </c>
      <c r="AS123">
        <v>3203600</v>
      </c>
      <c r="AT123" t="s">
        <v>83</v>
      </c>
      <c r="AU123">
        <v>2</v>
      </c>
    </row>
    <row r="124" spans="1:47" x14ac:dyDescent="0.3">
      <c r="A124" t="s">
        <v>881</v>
      </c>
      <c r="B124" t="s">
        <v>882</v>
      </c>
      <c r="C124" t="s">
        <v>516</v>
      </c>
      <c r="D124" t="s">
        <v>517</v>
      </c>
      <c r="E124" t="s">
        <v>62</v>
      </c>
      <c r="F124" t="s">
        <v>872</v>
      </c>
      <c r="G124">
        <v>1</v>
      </c>
      <c r="H124">
        <v>10</v>
      </c>
      <c r="I124" t="s">
        <v>47</v>
      </c>
      <c r="K124" t="s">
        <v>64</v>
      </c>
      <c r="L124" t="s">
        <v>81</v>
      </c>
      <c r="M124" t="s">
        <v>873</v>
      </c>
      <c r="N124">
        <v>3480300</v>
      </c>
      <c r="O124" t="s">
        <v>518</v>
      </c>
      <c r="Q124" t="s">
        <v>883</v>
      </c>
      <c r="R124" t="s">
        <v>483</v>
      </c>
      <c r="S124" t="s">
        <v>50</v>
      </c>
      <c r="T124">
        <v>0</v>
      </c>
      <c r="U124">
        <v>0</v>
      </c>
      <c r="V124">
        <v>3480300</v>
      </c>
      <c r="W124" t="s">
        <v>518</v>
      </c>
      <c r="X124" t="s">
        <v>883</v>
      </c>
      <c r="Y124" t="s">
        <v>483</v>
      </c>
      <c r="Z124" t="s">
        <v>50</v>
      </c>
      <c r="AA124">
        <v>0</v>
      </c>
      <c r="AB124">
        <v>0</v>
      </c>
      <c r="AC124">
        <v>3589900</v>
      </c>
      <c r="AD124" t="s">
        <v>520</v>
      </c>
      <c r="AE124">
        <v>2</v>
      </c>
      <c r="AF124">
        <v>0</v>
      </c>
      <c r="AG124" t="s">
        <v>53</v>
      </c>
      <c r="AH124" t="s">
        <v>72</v>
      </c>
      <c r="AI124" t="s">
        <v>73</v>
      </c>
      <c r="AJ124" t="s">
        <v>74</v>
      </c>
      <c r="AK124" t="s">
        <v>485</v>
      </c>
      <c r="AL124">
        <v>0</v>
      </c>
      <c r="AM124">
        <v>0</v>
      </c>
      <c r="AN124" t="s">
        <v>50</v>
      </c>
      <c r="AO124" t="s">
        <v>483</v>
      </c>
      <c r="AP124" t="s">
        <v>518</v>
      </c>
      <c r="AQ124" t="s">
        <v>486</v>
      </c>
      <c r="AR124" t="s">
        <v>883</v>
      </c>
      <c r="AS124">
        <v>3480300</v>
      </c>
      <c r="AT124" t="s">
        <v>83</v>
      </c>
      <c r="AU124">
        <v>2</v>
      </c>
    </row>
    <row r="125" spans="1:47" x14ac:dyDescent="0.3">
      <c r="A125" t="s">
        <v>884</v>
      </c>
      <c r="B125" t="s">
        <v>885</v>
      </c>
      <c r="C125" t="s">
        <v>516</v>
      </c>
      <c r="D125" t="s">
        <v>517</v>
      </c>
      <c r="E125" t="s">
        <v>62</v>
      </c>
      <c r="F125" t="s">
        <v>872</v>
      </c>
      <c r="G125">
        <v>1</v>
      </c>
      <c r="H125">
        <v>10</v>
      </c>
      <c r="I125" t="s">
        <v>47</v>
      </c>
      <c r="K125" t="s">
        <v>64</v>
      </c>
      <c r="L125" t="s">
        <v>81</v>
      </c>
      <c r="M125" t="s">
        <v>873</v>
      </c>
      <c r="N125">
        <v>3480300</v>
      </c>
      <c r="O125" t="s">
        <v>518</v>
      </c>
      <c r="Q125" t="s">
        <v>886</v>
      </c>
      <c r="R125" t="s">
        <v>483</v>
      </c>
      <c r="S125" t="s">
        <v>50</v>
      </c>
      <c r="T125">
        <v>0</v>
      </c>
      <c r="U125">
        <v>0</v>
      </c>
      <c r="V125">
        <v>3480300</v>
      </c>
      <c r="W125" t="s">
        <v>518</v>
      </c>
      <c r="X125" t="s">
        <v>886</v>
      </c>
      <c r="Y125" t="s">
        <v>483</v>
      </c>
      <c r="Z125" t="s">
        <v>50</v>
      </c>
      <c r="AA125">
        <v>0</v>
      </c>
      <c r="AB125">
        <v>0</v>
      </c>
      <c r="AC125">
        <v>3589900</v>
      </c>
      <c r="AD125" t="s">
        <v>520</v>
      </c>
      <c r="AE125">
        <v>2</v>
      </c>
      <c r="AF125">
        <v>0</v>
      </c>
      <c r="AG125" t="s">
        <v>53</v>
      </c>
      <c r="AH125" t="s">
        <v>72</v>
      </c>
      <c r="AI125" t="s">
        <v>73</v>
      </c>
      <c r="AJ125" t="s">
        <v>74</v>
      </c>
      <c r="AK125" t="s">
        <v>485</v>
      </c>
      <c r="AL125">
        <v>0</v>
      </c>
      <c r="AM125">
        <v>0</v>
      </c>
      <c r="AN125" t="s">
        <v>50</v>
      </c>
      <c r="AO125" t="s">
        <v>483</v>
      </c>
      <c r="AP125" t="s">
        <v>518</v>
      </c>
      <c r="AQ125" t="s">
        <v>486</v>
      </c>
      <c r="AR125" t="s">
        <v>886</v>
      </c>
      <c r="AS125">
        <v>3480300</v>
      </c>
      <c r="AT125" t="s">
        <v>83</v>
      </c>
      <c r="AU125">
        <v>2</v>
      </c>
    </row>
    <row r="126" spans="1:47" x14ac:dyDescent="0.3">
      <c r="A126" t="s">
        <v>887</v>
      </c>
      <c r="B126" t="s">
        <v>888</v>
      </c>
      <c r="C126" t="s">
        <v>516</v>
      </c>
      <c r="D126" t="s">
        <v>517</v>
      </c>
      <c r="E126" t="s">
        <v>62</v>
      </c>
      <c r="F126" t="s">
        <v>872</v>
      </c>
      <c r="G126">
        <v>1</v>
      </c>
      <c r="H126">
        <v>10</v>
      </c>
      <c r="I126" t="s">
        <v>47</v>
      </c>
      <c r="K126" t="s">
        <v>64</v>
      </c>
      <c r="L126" t="s">
        <v>81</v>
      </c>
      <c r="M126" t="s">
        <v>873</v>
      </c>
      <c r="N126">
        <v>3480300</v>
      </c>
      <c r="O126" t="s">
        <v>518</v>
      </c>
      <c r="Q126" t="s">
        <v>889</v>
      </c>
      <c r="R126" t="s">
        <v>483</v>
      </c>
      <c r="S126" t="s">
        <v>50</v>
      </c>
      <c r="T126">
        <v>0</v>
      </c>
      <c r="U126">
        <v>0</v>
      </c>
      <c r="V126">
        <v>3480300</v>
      </c>
      <c r="W126" t="s">
        <v>518</v>
      </c>
      <c r="X126" t="s">
        <v>889</v>
      </c>
      <c r="Y126" t="s">
        <v>483</v>
      </c>
      <c r="Z126" t="s">
        <v>50</v>
      </c>
      <c r="AA126">
        <v>0</v>
      </c>
      <c r="AB126">
        <v>0</v>
      </c>
      <c r="AC126">
        <v>3589900</v>
      </c>
      <c r="AD126" t="s">
        <v>520</v>
      </c>
      <c r="AE126">
        <v>2</v>
      </c>
      <c r="AF126">
        <v>0</v>
      </c>
      <c r="AG126" t="s">
        <v>53</v>
      </c>
      <c r="AH126" t="s">
        <v>72</v>
      </c>
      <c r="AI126" t="s">
        <v>73</v>
      </c>
      <c r="AJ126" t="s">
        <v>74</v>
      </c>
      <c r="AK126" t="s">
        <v>485</v>
      </c>
      <c r="AL126">
        <v>0</v>
      </c>
      <c r="AM126">
        <v>0</v>
      </c>
      <c r="AN126" t="s">
        <v>50</v>
      </c>
      <c r="AO126" t="s">
        <v>483</v>
      </c>
      <c r="AP126" t="s">
        <v>518</v>
      </c>
      <c r="AQ126" t="s">
        <v>486</v>
      </c>
      <c r="AR126" t="s">
        <v>889</v>
      </c>
      <c r="AS126">
        <v>3480300</v>
      </c>
      <c r="AT126" t="s">
        <v>83</v>
      </c>
      <c r="AU126">
        <v>2</v>
      </c>
    </row>
    <row r="127" spans="1:47" x14ac:dyDescent="0.3">
      <c r="A127" t="s">
        <v>890</v>
      </c>
      <c r="B127" t="s">
        <v>891</v>
      </c>
      <c r="C127" t="s">
        <v>489</v>
      </c>
      <c r="D127" t="s">
        <v>490</v>
      </c>
      <c r="E127" t="s">
        <v>221</v>
      </c>
      <c r="F127" t="s">
        <v>872</v>
      </c>
      <c r="G127">
        <v>1</v>
      </c>
      <c r="H127">
        <v>10</v>
      </c>
      <c r="I127" t="s">
        <v>47</v>
      </c>
      <c r="K127" t="s">
        <v>64</v>
      </c>
      <c r="L127" t="s">
        <v>48</v>
      </c>
      <c r="M127" t="s">
        <v>873</v>
      </c>
      <c r="N127">
        <v>3203600</v>
      </c>
      <c r="O127" t="s">
        <v>492</v>
      </c>
      <c r="Q127" t="s">
        <v>892</v>
      </c>
      <c r="R127" t="s">
        <v>483</v>
      </c>
      <c r="T127">
        <v>0</v>
      </c>
      <c r="U127">
        <v>0</v>
      </c>
      <c r="V127">
        <v>3203600</v>
      </c>
      <c r="W127" t="s">
        <v>492</v>
      </c>
      <c r="X127" t="s">
        <v>892</v>
      </c>
      <c r="Y127" t="s">
        <v>483</v>
      </c>
      <c r="Z127" t="s">
        <v>50</v>
      </c>
      <c r="AA127">
        <v>0</v>
      </c>
      <c r="AB127">
        <v>0</v>
      </c>
      <c r="AC127">
        <v>3304400</v>
      </c>
      <c r="AD127" t="s">
        <v>494</v>
      </c>
      <c r="AE127">
        <v>2</v>
      </c>
      <c r="AF127">
        <v>0</v>
      </c>
      <c r="AG127" t="s">
        <v>53</v>
      </c>
      <c r="AH127" t="s">
        <v>72</v>
      </c>
      <c r="AI127" t="s">
        <v>73</v>
      </c>
      <c r="AJ127" t="s">
        <v>74</v>
      </c>
      <c r="AK127" t="s">
        <v>485</v>
      </c>
      <c r="AL127">
        <v>0</v>
      </c>
      <c r="AM127">
        <v>0</v>
      </c>
      <c r="AN127" t="s">
        <v>50</v>
      </c>
      <c r="AO127" t="s">
        <v>483</v>
      </c>
      <c r="AP127" t="s">
        <v>492</v>
      </c>
      <c r="AR127" t="s">
        <v>892</v>
      </c>
      <c r="AS127">
        <v>3203600</v>
      </c>
      <c r="AT127" t="s">
        <v>983</v>
      </c>
      <c r="AU127">
        <v>2</v>
      </c>
    </row>
    <row r="128" spans="1:47" x14ac:dyDescent="0.3">
      <c r="A128" t="s">
        <v>893</v>
      </c>
      <c r="B128" t="s">
        <v>894</v>
      </c>
      <c r="C128" t="s">
        <v>489</v>
      </c>
      <c r="D128" t="s">
        <v>490</v>
      </c>
      <c r="E128" t="s">
        <v>80</v>
      </c>
      <c r="F128" t="s">
        <v>434</v>
      </c>
      <c r="G128">
        <v>1</v>
      </c>
      <c r="H128">
        <v>10</v>
      </c>
      <c r="I128" t="s">
        <v>47</v>
      </c>
      <c r="K128" t="s">
        <v>64</v>
      </c>
      <c r="L128" t="s">
        <v>48</v>
      </c>
      <c r="M128" t="s">
        <v>435</v>
      </c>
      <c r="N128">
        <v>3203600</v>
      </c>
      <c r="O128" t="s">
        <v>492</v>
      </c>
      <c r="Q128" t="s">
        <v>895</v>
      </c>
      <c r="R128" t="s">
        <v>483</v>
      </c>
      <c r="T128">
        <v>0</v>
      </c>
      <c r="U128">
        <v>0</v>
      </c>
      <c r="V128">
        <v>3203600</v>
      </c>
      <c r="W128" t="s">
        <v>492</v>
      </c>
      <c r="X128" t="s">
        <v>895</v>
      </c>
      <c r="Y128" t="s">
        <v>483</v>
      </c>
      <c r="Z128" t="s">
        <v>50</v>
      </c>
      <c r="AA128">
        <v>0</v>
      </c>
      <c r="AB128">
        <v>0</v>
      </c>
      <c r="AC128">
        <v>3304400</v>
      </c>
      <c r="AD128" t="s">
        <v>494</v>
      </c>
      <c r="AE128">
        <v>2</v>
      </c>
      <c r="AF128">
        <v>0</v>
      </c>
      <c r="AG128" t="s">
        <v>53</v>
      </c>
      <c r="AH128" t="s">
        <v>72</v>
      </c>
      <c r="AI128" t="s">
        <v>73</v>
      </c>
      <c r="AJ128" t="s">
        <v>74</v>
      </c>
      <c r="AK128" t="s">
        <v>485</v>
      </c>
      <c r="AL128">
        <v>0</v>
      </c>
      <c r="AM128">
        <v>0</v>
      </c>
      <c r="AN128" t="s">
        <v>50</v>
      </c>
      <c r="AO128" t="s">
        <v>483</v>
      </c>
      <c r="AP128" t="s">
        <v>492</v>
      </c>
      <c r="AR128" t="s">
        <v>895</v>
      </c>
      <c r="AS128">
        <v>3203600</v>
      </c>
      <c r="AT128" t="s">
        <v>83</v>
      </c>
      <c r="AU128">
        <v>2</v>
      </c>
    </row>
    <row r="129" spans="1:47" x14ac:dyDescent="0.3">
      <c r="A129" t="s">
        <v>896</v>
      </c>
      <c r="B129" t="s">
        <v>897</v>
      </c>
      <c r="C129" t="s">
        <v>489</v>
      </c>
      <c r="D129" t="s">
        <v>490</v>
      </c>
      <c r="E129" t="s">
        <v>845</v>
      </c>
      <c r="F129" t="s">
        <v>898</v>
      </c>
      <c r="G129">
        <v>1</v>
      </c>
      <c r="H129">
        <v>10</v>
      </c>
      <c r="I129" t="s">
        <v>47</v>
      </c>
      <c r="K129" t="s">
        <v>64</v>
      </c>
      <c r="L129" t="s">
        <v>81</v>
      </c>
      <c r="M129" t="s">
        <v>899</v>
      </c>
      <c r="N129">
        <v>3203600</v>
      </c>
      <c r="O129" t="s">
        <v>492</v>
      </c>
      <c r="Q129" t="s">
        <v>900</v>
      </c>
      <c r="R129" t="s">
        <v>483</v>
      </c>
      <c r="T129">
        <v>0</v>
      </c>
      <c r="U129">
        <v>0</v>
      </c>
      <c r="V129">
        <v>3203600</v>
      </c>
      <c r="W129" t="s">
        <v>492</v>
      </c>
      <c r="X129" t="s">
        <v>900</v>
      </c>
      <c r="Y129" t="s">
        <v>483</v>
      </c>
      <c r="Z129" t="s">
        <v>50</v>
      </c>
      <c r="AA129">
        <v>0</v>
      </c>
      <c r="AB129">
        <v>0</v>
      </c>
      <c r="AC129">
        <v>3304400</v>
      </c>
      <c r="AD129" t="s">
        <v>494</v>
      </c>
      <c r="AE129">
        <v>2</v>
      </c>
      <c r="AF129">
        <v>0</v>
      </c>
      <c r="AG129" t="s">
        <v>53</v>
      </c>
      <c r="AH129" t="s">
        <v>72</v>
      </c>
      <c r="AI129" t="s">
        <v>73</v>
      </c>
      <c r="AJ129" t="s">
        <v>74</v>
      </c>
      <c r="AK129" t="s">
        <v>485</v>
      </c>
      <c r="AL129">
        <v>0</v>
      </c>
      <c r="AM129">
        <v>0</v>
      </c>
      <c r="AN129" t="s">
        <v>50</v>
      </c>
      <c r="AO129" t="s">
        <v>483</v>
      </c>
      <c r="AP129" t="s">
        <v>492</v>
      </c>
      <c r="AR129" t="s">
        <v>900</v>
      </c>
      <c r="AS129">
        <v>3203600</v>
      </c>
      <c r="AT129" t="s">
        <v>83</v>
      </c>
      <c r="AU129">
        <v>2</v>
      </c>
    </row>
    <row r="130" spans="1:47" x14ac:dyDescent="0.3">
      <c r="A130" t="s">
        <v>901</v>
      </c>
      <c r="B130" t="s">
        <v>902</v>
      </c>
      <c r="C130" t="s">
        <v>516</v>
      </c>
      <c r="D130" t="s">
        <v>517</v>
      </c>
      <c r="E130" t="s">
        <v>586</v>
      </c>
      <c r="F130" t="s">
        <v>898</v>
      </c>
      <c r="G130">
        <v>1</v>
      </c>
      <c r="H130">
        <v>10</v>
      </c>
      <c r="I130" t="s">
        <v>47</v>
      </c>
      <c r="K130" t="s">
        <v>64</v>
      </c>
      <c r="L130" t="s">
        <v>48</v>
      </c>
      <c r="M130" t="s">
        <v>899</v>
      </c>
      <c r="N130">
        <v>3480300</v>
      </c>
      <c r="O130" t="s">
        <v>518</v>
      </c>
      <c r="Q130" t="s">
        <v>903</v>
      </c>
      <c r="R130" t="s">
        <v>483</v>
      </c>
      <c r="S130" t="s">
        <v>50</v>
      </c>
      <c r="T130">
        <v>0</v>
      </c>
      <c r="U130">
        <v>0</v>
      </c>
      <c r="V130">
        <v>3480300</v>
      </c>
      <c r="W130" t="s">
        <v>518</v>
      </c>
      <c r="X130" t="s">
        <v>903</v>
      </c>
      <c r="Y130" t="s">
        <v>483</v>
      </c>
      <c r="Z130" t="s">
        <v>50</v>
      </c>
      <c r="AA130">
        <v>0</v>
      </c>
      <c r="AB130">
        <v>0</v>
      </c>
      <c r="AC130">
        <v>3589900</v>
      </c>
      <c r="AD130" t="s">
        <v>520</v>
      </c>
      <c r="AE130">
        <v>2</v>
      </c>
      <c r="AF130">
        <v>0</v>
      </c>
      <c r="AG130" t="s">
        <v>53</v>
      </c>
      <c r="AH130" t="s">
        <v>72</v>
      </c>
      <c r="AI130" t="s">
        <v>73</v>
      </c>
      <c r="AJ130" t="s">
        <v>74</v>
      </c>
      <c r="AK130" t="s">
        <v>485</v>
      </c>
      <c r="AL130">
        <v>0</v>
      </c>
      <c r="AM130">
        <v>0</v>
      </c>
      <c r="AN130" t="s">
        <v>50</v>
      </c>
      <c r="AO130" t="s">
        <v>483</v>
      </c>
      <c r="AP130" t="s">
        <v>518</v>
      </c>
      <c r="AQ130" t="s">
        <v>486</v>
      </c>
      <c r="AR130" t="s">
        <v>903</v>
      </c>
      <c r="AS130">
        <v>3480300</v>
      </c>
      <c r="AT130" t="s">
        <v>83</v>
      </c>
      <c r="AU130">
        <v>2</v>
      </c>
    </row>
    <row r="131" spans="1:47" x14ac:dyDescent="0.3">
      <c r="A131" t="s">
        <v>904</v>
      </c>
      <c r="B131" t="s">
        <v>905</v>
      </c>
      <c r="C131" t="s">
        <v>516</v>
      </c>
      <c r="D131" t="s">
        <v>517</v>
      </c>
      <c r="E131" t="s">
        <v>586</v>
      </c>
      <c r="F131" t="s">
        <v>898</v>
      </c>
      <c r="G131">
        <v>1</v>
      </c>
      <c r="H131">
        <v>10</v>
      </c>
      <c r="I131" t="s">
        <v>47</v>
      </c>
      <c r="K131" t="s">
        <v>64</v>
      </c>
      <c r="L131" t="s">
        <v>48</v>
      </c>
      <c r="M131" t="s">
        <v>899</v>
      </c>
      <c r="N131">
        <v>3480300</v>
      </c>
      <c r="O131" t="s">
        <v>518</v>
      </c>
      <c r="Q131" t="s">
        <v>906</v>
      </c>
      <c r="R131" t="s">
        <v>483</v>
      </c>
      <c r="T131">
        <v>0</v>
      </c>
      <c r="U131">
        <v>0</v>
      </c>
      <c r="V131">
        <v>3480300</v>
      </c>
      <c r="W131" t="s">
        <v>518</v>
      </c>
      <c r="X131" t="s">
        <v>906</v>
      </c>
      <c r="Y131" t="s">
        <v>483</v>
      </c>
      <c r="Z131" t="s">
        <v>50</v>
      </c>
      <c r="AA131">
        <v>0</v>
      </c>
      <c r="AB131">
        <v>0</v>
      </c>
      <c r="AC131">
        <v>3589900</v>
      </c>
      <c r="AD131" t="s">
        <v>520</v>
      </c>
      <c r="AE131">
        <v>2</v>
      </c>
      <c r="AF131">
        <v>0</v>
      </c>
      <c r="AG131" t="s">
        <v>53</v>
      </c>
      <c r="AH131" t="s">
        <v>72</v>
      </c>
      <c r="AI131" t="s">
        <v>73</v>
      </c>
      <c r="AJ131" t="s">
        <v>74</v>
      </c>
      <c r="AK131" t="s">
        <v>485</v>
      </c>
      <c r="AL131">
        <v>0</v>
      </c>
      <c r="AM131">
        <v>0</v>
      </c>
      <c r="AN131" t="s">
        <v>50</v>
      </c>
      <c r="AO131" t="s">
        <v>483</v>
      </c>
      <c r="AP131" t="s">
        <v>518</v>
      </c>
      <c r="AR131" t="s">
        <v>906</v>
      </c>
      <c r="AS131">
        <v>3480300</v>
      </c>
      <c r="AT131" t="s">
        <v>83</v>
      </c>
      <c r="AU131">
        <v>2</v>
      </c>
    </row>
    <row r="132" spans="1:47" x14ac:dyDescent="0.3">
      <c r="A132" t="s">
        <v>907</v>
      </c>
      <c r="B132" t="s">
        <v>908</v>
      </c>
      <c r="C132" t="s">
        <v>477</v>
      </c>
      <c r="D132" t="s">
        <v>478</v>
      </c>
      <c r="E132" t="s">
        <v>558</v>
      </c>
      <c r="F132" t="s">
        <v>909</v>
      </c>
      <c r="G132">
        <v>1</v>
      </c>
      <c r="H132">
        <v>10</v>
      </c>
      <c r="I132" t="s">
        <v>47</v>
      </c>
      <c r="K132" t="s">
        <v>64</v>
      </c>
      <c r="L132" t="s">
        <v>48</v>
      </c>
      <c r="M132" t="s">
        <v>910</v>
      </c>
      <c r="N132">
        <v>2858800</v>
      </c>
      <c r="O132" t="s">
        <v>481</v>
      </c>
      <c r="Q132" t="s">
        <v>911</v>
      </c>
      <c r="R132" t="s">
        <v>483</v>
      </c>
      <c r="T132">
        <v>0</v>
      </c>
      <c r="U132">
        <v>0</v>
      </c>
      <c r="V132">
        <v>2858800</v>
      </c>
      <c r="W132" t="s">
        <v>481</v>
      </c>
      <c r="X132" t="s">
        <v>911</v>
      </c>
      <c r="Y132" t="s">
        <v>483</v>
      </c>
      <c r="Z132" t="s">
        <v>50</v>
      </c>
      <c r="AA132">
        <v>0</v>
      </c>
      <c r="AB132">
        <v>0</v>
      </c>
      <c r="AC132">
        <v>2948800</v>
      </c>
      <c r="AD132" t="s">
        <v>484</v>
      </c>
      <c r="AE132">
        <v>5</v>
      </c>
      <c r="AF132">
        <v>0</v>
      </c>
      <c r="AG132" t="s">
        <v>53</v>
      </c>
      <c r="AH132" t="s">
        <v>72</v>
      </c>
      <c r="AI132" t="s">
        <v>73</v>
      </c>
      <c r="AJ132" t="s">
        <v>74</v>
      </c>
      <c r="AK132" t="s">
        <v>485</v>
      </c>
      <c r="AL132">
        <v>3</v>
      </c>
      <c r="AM132">
        <v>0</v>
      </c>
      <c r="AN132" t="s">
        <v>50</v>
      </c>
      <c r="AO132" t="s">
        <v>483</v>
      </c>
      <c r="AP132" t="s">
        <v>481</v>
      </c>
      <c r="AR132" t="s">
        <v>911</v>
      </c>
      <c r="AS132">
        <v>2858800</v>
      </c>
      <c r="AT132" t="s">
        <v>83</v>
      </c>
      <c r="AU132">
        <v>2</v>
      </c>
    </row>
    <row r="133" spans="1:47" x14ac:dyDescent="0.3">
      <c r="A133" t="s">
        <v>912</v>
      </c>
      <c r="B133" t="s">
        <v>913</v>
      </c>
      <c r="C133" t="s">
        <v>516</v>
      </c>
      <c r="D133" t="s">
        <v>517</v>
      </c>
      <c r="E133" t="s">
        <v>62</v>
      </c>
      <c r="F133" t="s">
        <v>909</v>
      </c>
      <c r="G133">
        <v>1</v>
      </c>
      <c r="H133">
        <v>10</v>
      </c>
      <c r="I133" t="s">
        <v>47</v>
      </c>
      <c r="K133" t="s">
        <v>64</v>
      </c>
      <c r="L133" t="s">
        <v>81</v>
      </c>
      <c r="M133" t="s">
        <v>910</v>
      </c>
      <c r="N133">
        <v>3480300</v>
      </c>
      <c r="O133" t="s">
        <v>518</v>
      </c>
      <c r="Q133" t="s">
        <v>914</v>
      </c>
      <c r="R133" t="s">
        <v>483</v>
      </c>
      <c r="T133">
        <v>0</v>
      </c>
      <c r="U133">
        <v>0</v>
      </c>
      <c r="V133">
        <v>3480300</v>
      </c>
      <c r="W133" t="s">
        <v>518</v>
      </c>
      <c r="X133" t="s">
        <v>914</v>
      </c>
      <c r="Y133" t="s">
        <v>483</v>
      </c>
      <c r="Z133" t="s">
        <v>50</v>
      </c>
      <c r="AA133">
        <v>0</v>
      </c>
      <c r="AB133">
        <v>0</v>
      </c>
      <c r="AC133">
        <v>3589900</v>
      </c>
      <c r="AD133" t="s">
        <v>520</v>
      </c>
      <c r="AE133">
        <v>2</v>
      </c>
      <c r="AF133">
        <v>0</v>
      </c>
      <c r="AG133" t="s">
        <v>53</v>
      </c>
      <c r="AH133" t="s">
        <v>72</v>
      </c>
      <c r="AI133" t="s">
        <v>73</v>
      </c>
      <c r="AJ133" t="s">
        <v>74</v>
      </c>
      <c r="AK133" t="s">
        <v>485</v>
      </c>
      <c r="AL133">
        <v>0</v>
      </c>
      <c r="AM133">
        <v>0</v>
      </c>
      <c r="AN133" t="s">
        <v>50</v>
      </c>
      <c r="AO133" t="s">
        <v>483</v>
      </c>
      <c r="AP133" t="s">
        <v>518</v>
      </c>
      <c r="AR133" t="s">
        <v>914</v>
      </c>
      <c r="AS133">
        <v>3480300</v>
      </c>
      <c r="AT133" t="s">
        <v>83</v>
      </c>
      <c r="AU133">
        <v>2</v>
      </c>
    </row>
    <row r="134" spans="1:47" x14ac:dyDescent="0.3">
      <c r="A134" t="s">
        <v>915</v>
      </c>
      <c r="B134" t="s">
        <v>916</v>
      </c>
      <c r="C134" t="s">
        <v>477</v>
      </c>
      <c r="D134" t="s">
        <v>478</v>
      </c>
      <c r="E134" t="s">
        <v>558</v>
      </c>
      <c r="F134" t="s">
        <v>447</v>
      </c>
      <c r="G134">
        <v>1</v>
      </c>
      <c r="H134">
        <v>10</v>
      </c>
      <c r="I134" t="s">
        <v>47</v>
      </c>
      <c r="K134" t="s">
        <v>64</v>
      </c>
      <c r="L134" t="s">
        <v>48</v>
      </c>
      <c r="M134" t="s">
        <v>448</v>
      </c>
      <c r="N134">
        <v>2858800</v>
      </c>
      <c r="O134" t="s">
        <v>481</v>
      </c>
      <c r="Q134" t="s">
        <v>917</v>
      </c>
      <c r="R134" t="s">
        <v>483</v>
      </c>
      <c r="S134" t="s">
        <v>50</v>
      </c>
      <c r="T134">
        <v>0</v>
      </c>
      <c r="U134">
        <v>0</v>
      </c>
      <c r="V134">
        <v>2858800</v>
      </c>
      <c r="W134" t="s">
        <v>481</v>
      </c>
      <c r="X134" t="s">
        <v>917</v>
      </c>
      <c r="Y134" t="s">
        <v>483</v>
      </c>
      <c r="Z134" t="s">
        <v>50</v>
      </c>
      <c r="AA134">
        <v>0</v>
      </c>
      <c r="AB134">
        <v>0</v>
      </c>
      <c r="AC134">
        <v>2948800</v>
      </c>
      <c r="AD134" t="s">
        <v>484</v>
      </c>
      <c r="AE134">
        <v>5</v>
      </c>
      <c r="AF134">
        <v>0</v>
      </c>
      <c r="AG134" t="s">
        <v>53</v>
      </c>
      <c r="AH134" t="s">
        <v>72</v>
      </c>
      <c r="AI134" t="s">
        <v>73</v>
      </c>
      <c r="AJ134" t="s">
        <v>74</v>
      </c>
      <c r="AK134" t="s">
        <v>485</v>
      </c>
      <c r="AL134">
        <v>3</v>
      </c>
      <c r="AM134">
        <v>0</v>
      </c>
      <c r="AN134" t="s">
        <v>50</v>
      </c>
      <c r="AO134" t="s">
        <v>483</v>
      </c>
      <c r="AP134" t="s">
        <v>481</v>
      </c>
      <c r="AQ134" t="s">
        <v>486</v>
      </c>
      <c r="AR134" t="s">
        <v>917</v>
      </c>
      <c r="AS134">
        <v>2858800</v>
      </c>
      <c r="AT134" t="s">
        <v>83</v>
      </c>
      <c r="AU134">
        <v>2</v>
      </c>
    </row>
    <row r="135" spans="1:47" x14ac:dyDescent="0.3">
      <c r="A135" t="s">
        <v>918</v>
      </c>
      <c r="B135" t="s">
        <v>919</v>
      </c>
      <c r="C135" t="s">
        <v>516</v>
      </c>
      <c r="D135" t="s">
        <v>517</v>
      </c>
      <c r="E135" t="s">
        <v>62</v>
      </c>
      <c r="F135" t="s">
        <v>447</v>
      </c>
      <c r="G135">
        <v>1</v>
      </c>
      <c r="H135">
        <v>10</v>
      </c>
      <c r="I135" t="s">
        <v>47</v>
      </c>
      <c r="K135" t="s">
        <v>64</v>
      </c>
      <c r="L135" t="s">
        <v>48</v>
      </c>
      <c r="M135" t="s">
        <v>448</v>
      </c>
      <c r="N135">
        <v>3480300</v>
      </c>
      <c r="O135" t="s">
        <v>518</v>
      </c>
      <c r="Q135" t="s">
        <v>920</v>
      </c>
      <c r="R135" t="s">
        <v>483</v>
      </c>
      <c r="S135" t="s">
        <v>50</v>
      </c>
      <c r="T135">
        <v>0</v>
      </c>
      <c r="U135">
        <v>0</v>
      </c>
      <c r="V135">
        <v>3480300</v>
      </c>
      <c r="W135" t="s">
        <v>518</v>
      </c>
      <c r="X135" t="s">
        <v>920</v>
      </c>
      <c r="Y135" t="s">
        <v>483</v>
      </c>
      <c r="Z135" t="s">
        <v>50</v>
      </c>
      <c r="AA135">
        <v>0</v>
      </c>
      <c r="AB135">
        <v>0</v>
      </c>
      <c r="AC135">
        <v>3589900</v>
      </c>
      <c r="AD135" t="s">
        <v>520</v>
      </c>
      <c r="AE135">
        <v>2</v>
      </c>
      <c r="AF135">
        <v>0</v>
      </c>
      <c r="AG135" t="s">
        <v>53</v>
      </c>
      <c r="AH135" t="s">
        <v>72</v>
      </c>
      <c r="AI135" t="s">
        <v>73</v>
      </c>
      <c r="AJ135" t="s">
        <v>74</v>
      </c>
      <c r="AK135" t="s">
        <v>485</v>
      </c>
      <c r="AL135">
        <v>0</v>
      </c>
      <c r="AM135">
        <v>0</v>
      </c>
      <c r="AN135" t="s">
        <v>50</v>
      </c>
      <c r="AO135" t="s">
        <v>483</v>
      </c>
      <c r="AP135" t="s">
        <v>518</v>
      </c>
      <c r="AQ135" t="s">
        <v>486</v>
      </c>
      <c r="AR135" t="s">
        <v>920</v>
      </c>
      <c r="AS135">
        <v>3480300</v>
      </c>
      <c r="AT135" t="s">
        <v>83</v>
      </c>
      <c r="AU135">
        <v>2</v>
      </c>
    </row>
    <row r="136" spans="1:47" x14ac:dyDescent="0.3">
      <c r="A136" t="s">
        <v>921</v>
      </c>
      <c r="B136" t="s">
        <v>922</v>
      </c>
      <c r="C136" t="s">
        <v>516</v>
      </c>
      <c r="D136" t="s">
        <v>517</v>
      </c>
      <c r="E136" t="s">
        <v>62</v>
      </c>
      <c r="F136" t="s">
        <v>447</v>
      </c>
      <c r="G136">
        <v>1</v>
      </c>
      <c r="H136">
        <v>10</v>
      </c>
      <c r="I136" t="s">
        <v>47</v>
      </c>
      <c r="K136" t="s">
        <v>64</v>
      </c>
      <c r="L136" t="s">
        <v>48</v>
      </c>
      <c r="M136" t="s">
        <v>448</v>
      </c>
      <c r="N136">
        <v>3480300</v>
      </c>
      <c r="O136" t="s">
        <v>518</v>
      </c>
      <c r="Q136" t="s">
        <v>923</v>
      </c>
      <c r="R136" t="s">
        <v>483</v>
      </c>
      <c r="S136" t="s">
        <v>50</v>
      </c>
      <c r="T136">
        <v>0</v>
      </c>
      <c r="U136">
        <v>0</v>
      </c>
      <c r="V136">
        <v>3480300</v>
      </c>
      <c r="W136" t="s">
        <v>518</v>
      </c>
      <c r="X136" t="s">
        <v>923</v>
      </c>
      <c r="Y136" t="s">
        <v>483</v>
      </c>
      <c r="Z136" t="s">
        <v>50</v>
      </c>
      <c r="AA136">
        <v>0</v>
      </c>
      <c r="AB136">
        <v>0</v>
      </c>
      <c r="AC136">
        <v>3589900</v>
      </c>
      <c r="AD136" t="s">
        <v>520</v>
      </c>
      <c r="AE136">
        <v>2</v>
      </c>
      <c r="AF136">
        <v>0</v>
      </c>
      <c r="AG136" t="s">
        <v>53</v>
      </c>
      <c r="AH136" t="s">
        <v>72</v>
      </c>
      <c r="AI136" t="s">
        <v>73</v>
      </c>
      <c r="AJ136" t="s">
        <v>74</v>
      </c>
      <c r="AK136" t="s">
        <v>485</v>
      </c>
      <c r="AL136">
        <v>0</v>
      </c>
      <c r="AM136">
        <v>0</v>
      </c>
      <c r="AN136" t="s">
        <v>50</v>
      </c>
      <c r="AO136" t="s">
        <v>483</v>
      </c>
      <c r="AP136" t="s">
        <v>518</v>
      </c>
      <c r="AQ136" t="s">
        <v>486</v>
      </c>
      <c r="AR136" t="s">
        <v>923</v>
      </c>
      <c r="AS136">
        <v>3480300</v>
      </c>
      <c r="AT136" t="s">
        <v>83</v>
      </c>
      <c r="AU136">
        <v>2</v>
      </c>
    </row>
    <row r="137" spans="1:47" x14ac:dyDescent="0.3">
      <c r="A137" t="s">
        <v>924</v>
      </c>
      <c r="B137" t="s">
        <v>925</v>
      </c>
      <c r="C137" t="s">
        <v>489</v>
      </c>
      <c r="D137" t="s">
        <v>490</v>
      </c>
      <c r="E137" t="s">
        <v>80</v>
      </c>
      <c r="F137" t="s">
        <v>447</v>
      </c>
      <c r="G137">
        <v>1</v>
      </c>
      <c r="H137">
        <v>10</v>
      </c>
      <c r="I137" t="s">
        <v>47</v>
      </c>
      <c r="K137" t="s">
        <v>64</v>
      </c>
      <c r="L137" t="s">
        <v>48</v>
      </c>
      <c r="M137" t="s">
        <v>448</v>
      </c>
      <c r="N137">
        <v>3203600</v>
      </c>
      <c r="O137" t="s">
        <v>492</v>
      </c>
      <c r="Q137" t="s">
        <v>926</v>
      </c>
      <c r="R137" t="s">
        <v>483</v>
      </c>
      <c r="S137" t="s">
        <v>50</v>
      </c>
      <c r="T137">
        <v>0</v>
      </c>
      <c r="U137">
        <v>0</v>
      </c>
      <c r="V137">
        <v>3203600</v>
      </c>
      <c r="W137" t="s">
        <v>492</v>
      </c>
      <c r="X137" t="s">
        <v>926</v>
      </c>
      <c r="Y137" t="s">
        <v>483</v>
      </c>
      <c r="Z137" t="s">
        <v>50</v>
      </c>
      <c r="AA137">
        <v>0</v>
      </c>
      <c r="AB137">
        <v>0</v>
      </c>
      <c r="AC137">
        <v>3304400</v>
      </c>
      <c r="AD137" t="s">
        <v>494</v>
      </c>
      <c r="AE137">
        <v>2</v>
      </c>
      <c r="AF137">
        <v>0</v>
      </c>
      <c r="AG137" t="s">
        <v>53</v>
      </c>
      <c r="AH137" t="s">
        <v>72</v>
      </c>
      <c r="AI137" t="s">
        <v>73</v>
      </c>
      <c r="AJ137" t="s">
        <v>74</v>
      </c>
      <c r="AK137" t="s">
        <v>485</v>
      </c>
      <c r="AL137">
        <v>0</v>
      </c>
      <c r="AM137">
        <v>0</v>
      </c>
      <c r="AN137" t="s">
        <v>50</v>
      </c>
      <c r="AO137" t="s">
        <v>483</v>
      </c>
      <c r="AP137" t="s">
        <v>492</v>
      </c>
      <c r="AQ137" t="s">
        <v>486</v>
      </c>
      <c r="AR137" t="s">
        <v>926</v>
      </c>
      <c r="AS137">
        <v>3203600</v>
      </c>
      <c r="AT137" t="s">
        <v>83</v>
      </c>
      <c r="AU137">
        <v>2</v>
      </c>
    </row>
    <row r="138" spans="1:47" x14ac:dyDescent="0.3">
      <c r="A138" t="s">
        <v>927</v>
      </c>
      <c r="B138" t="s">
        <v>928</v>
      </c>
      <c r="C138" t="s">
        <v>477</v>
      </c>
      <c r="D138" t="s">
        <v>478</v>
      </c>
      <c r="E138" t="s">
        <v>558</v>
      </c>
      <c r="F138" t="s">
        <v>453</v>
      </c>
      <c r="G138">
        <v>1</v>
      </c>
      <c r="H138">
        <v>10</v>
      </c>
      <c r="I138" t="s">
        <v>47</v>
      </c>
      <c r="K138" t="s">
        <v>64</v>
      </c>
      <c r="L138" t="s">
        <v>48</v>
      </c>
      <c r="M138" t="s">
        <v>454</v>
      </c>
      <c r="N138">
        <v>2858800</v>
      </c>
      <c r="O138" t="s">
        <v>481</v>
      </c>
      <c r="Q138" t="s">
        <v>929</v>
      </c>
      <c r="R138" t="s">
        <v>483</v>
      </c>
      <c r="T138">
        <v>0</v>
      </c>
      <c r="U138">
        <v>0</v>
      </c>
      <c r="V138">
        <v>2858800</v>
      </c>
      <c r="W138" t="s">
        <v>481</v>
      </c>
      <c r="X138" t="s">
        <v>929</v>
      </c>
      <c r="Y138" t="s">
        <v>483</v>
      </c>
      <c r="Z138" t="s">
        <v>50</v>
      </c>
      <c r="AA138">
        <v>0</v>
      </c>
      <c r="AB138">
        <v>0</v>
      </c>
      <c r="AC138">
        <v>2948800</v>
      </c>
      <c r="AD138" t="s">
        <v>484</v>
      </c>
      <c r="AE138">
        <v>5</v>
      </c>
      <c r="AF138">
        <v>0</v>
      </c>
      <c r="AG138" t="s">
        <v>53</v>
      </c>
      <c r="AH138" t="s">
        <v>72</v>
      </c>
      <c r="AI138" t="s">
        <v>73</v>
      </c>
      <c r="AJ138" t="s">
        <v>74</v>
      </c>
      <c r="AK138" t="s">
        <v>485</v>
      </c>
      <c r="AL138">
        <v>3</v>
      </c>
      <c r="AM138">
        <v>0</v>
      </c>
      <c r="AN138" t="s">
        <v>50</v>
      </c>
      <c r="AP138" t="s">
        <v>481</v>
      </c>
      <c r="AR138" t="s">
        <v>929</v>
      </c>
      <c r="AS138">
        <v>2858800</v>
      </c>
      <c r="AT138" t="s">
        <v>83</v>
      </c>
      <c r="AU138">
        <v>2</v>
      </c>
    </row>
    <row r="139" spans="1:47" x14ac:dyDescent="0.3">
      <c r="A139" t="s">
        <v>930</v>
      </c>
      <c r="B139" t="s">
        <v>931</v>
      </c>
      <c r="C139" t="s">
        <v>516</v>
      </c>
      <c r="D139" t="s">
        <v>517</v>
      </c>
      <c r="E139" t="s">
        <v>62</v>
      </c>
      <c r="F139" t="s">
        <v>453</v>
      </c>
      <c r="G139">
        <v>1</v>
      </c>
      <c r="H139">
        <v>10</v>
      </c>
      <c r="I139" t="s">
        <v>47</v>
      </c>
      <c r="K139" t="s">
        <v>64</v>
      </c>
      <c r="L139" t="s">
        <v>48</v>
      </c>
      <c r="M139" t="s">
        <v>454</v>
      </c>
      <c r="N139">
        <v>3480300</v>
      </c>
      <c r="O139" t="s">
        <v>518</v>
      </c>
      <c r="Q139" t="s">
        <v>932</v>
      </c>
      <c r="R139" t="s">
        <v>483</v>
      </c>
      <c r="T139">
        <v>0</v>
      </c>
      <c r="U139">
        <v>0</v>
      </c>
      <c r="V139">
        <v>3480300</v>
      </c>
      <c r="W139" t="s">
        <v>518</v>
      </c>
      <c r="X139" t="s">
        <v>932</v>
      </c>
      <c r="Y139" t="s">
        <v>483</v>
      </c>
      <c r="Z139" t="s">
        <v>50</v>
      </c>
      <c r="AA139">
        <v>0</v>
      </c>
      <c r="AB139">
        <v>0</v>
      </c>
      <c r="AC139">
        <v>3589900</v>
      </c>
      <c r="AD139" t="s">
        <v>520</v>
      </c>
      <c r="AE139">
        <v>2</v>
      </c>
      <c r="AF139">
        <v>0</v>
      </c>
      <c r="AG139" t="s">
        <v>53</v>
      </c>
      <c r="AH139" t="s">
        <v>72</v>
      </c>
      <c r="AI139" t="s">
        <v>73</v>
      </c>
      <c r="AJ139" t="s">
        <v>74</v>
      </c>
      <c r="AK139" t="s">
        <v>485</v>
      </c>
      <c r="AL139">
        <v>0</v>
      </c>
      <c r="AM139">
        <v>0</v>
      </c>
      <c r="AN139" t="s">
        <v>50</v>
      </c>
      <c r="AP139" t="s">
        <v>518</v>
      </c>
      <c r="AR139" t="s">
        <v>932</v>
      </c>
      <c r="AS139">
        <v>3480300</v>
      </c>
      <c r="AT139" t="s">
        <v>83</v>
      </c>
      <c r="AU139">
        <v>2</v>
      </c>
    </row>
    <row r="140" spans="1:47" x14ac:dyDescent="0.3">
      <c r="A140" t="s">
        <v>933</v>
      </c>
      <c r="B140" t="s">
        <v>934</v>
      </c>
      <c r="C140" t="s">
        <v>489</v>
      </c>
      <c r="D140" t="s">
        <v>490</v>
      </c>
      <c r="E140" t="s">
        <v>845</v>
      </c>
      <c r="F140" t="s">
        <v>935</v>
      </c>
      <c r="G140">
        <v>1</v>
      </c>
      <c r="H140">
        <v>10</v>
      </c>
      <c r="I140" t="s">
        <v>47</v>
      </c>
      <c r="K140" t="s">
        <v>64</v>
      </c>
      <c r="L140" t="s">
        <v>48</v>
      </c>
      <c r="M140" t="s">
        <v>936</v>
      </c>
      <c r="N140">
        <v>3203600</v>
      </c>
      <c r="O140" t="s">
        <v>492</v>
      </c>
      <c r="Q140" t="s">
        <v>937</v>
      </c>
      <c r="R140" t="s">
        <v>483</v>
      </c>
      <c r="S140" t="s">
        <v>50</v>
      </c>
      <c r="T140">
        <v>0</v>
      </c>
      <c r="U140">
        <v>0</v>
      </c>
      <c r="V140">
        <v>3203600</v>
      </c>
      <c r="W140" t="s">
        <v>492</v>
      </c>
      <c r="X140" t="s">
        <v>937</v>
      </c>
      <c r="Y140" t="s">
        <v>483</v>
      </c>
      <c r="Z140" t="s">
        <v>50</v>
      </c>
      <c r="AA140">
        <v>0</v>
      </c>
      <c r="AB140">
        <v>0</v>
      </c>
      <c r="AC140">
        <v>3304400</v>
      </c>
      <c r="AD140" t="s">
        <v>494</v>
      </c>
      <c r="AE140">
        <v>2</v>
      </c>
      <c r="AF140">
        <v>0</v>
      </c>
      <c r="AG140" t="s">
        <v>53</v>
      </c>
      <c r="AH140" t="s">
        <v>72</v>
      </c>
      <c r="AI140" t="s">
        <v>73</v>
      </c>
      <c r="AJ140" t="s">
        <v>74</v>
      </c>
      <c r="AK140" t="s">
        <v>485</v>
      </c>
      <c r="AL140">
        <v>0</v>
      </c>
      <c r="AM140">
        <v>0</v>
      </c>
      <c r="AN140" t="s">
        <v>50</v>
      </c>
      <c r="AO140" t="s">
        <v>483</v>
      </c>
      <c r="AP140" t="s">
        <v>492</v>
      </c>
      <c r="AQ140" t="s">
        <v>486</v>
      </c>
      <c r="AR140" t="s">
        <v>937</v>
      </c>
      <c r="AS140">
        <v>3203600</v>
      </c>
      <c r="AT140" t="s">
        <v>83</v>
      </c>
      <c r="AU140">
        <v>2</v>
      </c>
    </row>
    <row r="141" spans="1:47" x14ac:dyDescent="0.3">
      <c r="A141" t="s">
        <v>938</v>
      </c>
      <c r="B141" t="s">
        <v>939</v>
      </c>
      <c r="C141" t="s">
        <v>516</v>
      </c>
      <c r="D141" t="s">
        <v>517</v>
      </c>
      <c r="E141" t="s">
        <v>586</v>
      </c>
      <c r="F141" t="s">
        <v>935</v>
      </c>
      <c r="G141">
        <v>1</v>
      </c>
      <c r="H141">
        <v>10</v>
      </c>
      <c r="I141" t="s">
        <v>47</v>
      </c>
      <c r="K141" t="s">
        <v>64</v>
      </c>
      <c r="L141" t="s">
        <v>48</v>
      </c>
      <c r="M141" t="s">
        <v>936</v>
      </c>
      <c r="N141">
        <v>3480300</v>
      </c>
      <c r="O141" t="s">
        <v>518</v>
      </c>
      <c r="Q141" t="s">
        <v>940</v>
      </c>
      <c r="R141" t="s">
        <v>483</v>
      </c>
      <c r="S141" t="s">
        <v>50</v>
      </c>
      <c r="T141">
        <v>0</v>
      </c>
      <c r="U141">
        <v>0</v>
      </c>
      <c r="V141">
        <v>3480300</v>
      </c>
      <c r="W141" t="s">
        <v>518</v>
      </c>
      <c r="X141" t="s">
        <v>940</v>
      </c>
      <c r="Y141" t="s">
        <v>483</v>
      </c>
      <c r="Z141" t="s">
        <v>50</v>
      </c>
      <c r="AA141">
        <v>0</v>
      </c>
      <c r="AB141">
        <v>0</v>
      </c>
      <c r="AC141">
        <v>3589900</v>
      </c>
      <c r="AD141" t="s">
        <v>520</v>
      </c>
      <c r="AE141">
        <v>2</v>
      </c>
      <c r="AF141">
        <v>0</v>
      </c>
      <c r="AG141" t="s">
        <v>53</v>
      </c>
      <c r="AH141" t="s">
        <v>72</v>
      </c>
      <c r="AI141" t="s">
        <v>73</v>
      </c>
      <c r="AJ141" t="s">
        <v>74</v>
      </c>
      <c r="AK141" t="s">
        <v>485</v>
      </c>
      <c r="AL141">
        <v>0</v>
      </c>
      <c r="AM141">
        <v>0</v>
      </c>
      <c r="AN141" t="s">
        <v>50</v>
      </c>
      <c r="AO141" t="s">
        <v>483</v>
      </c>
      <c r="AP141" t="s">
        <v>518</v>
      </c>
      <c r="AQ141" t="s">
        <v>486</v>
      </c>
      <c r="AR141" t="s">
        <v>940</v>
      </c>
      <c r="AS141">
        <v>3480300</v>
      </c>
      <c r="AT141" t="s">
        <v>83</v>
      </c>
      <c r="AU141">
        <v>2</v>
      </c>
    </row>
    <row r="142" spans="1:47" x14ac:dyDescent="0.3">
      <c r="A142" t="s">
        <v>941</v>
      </c>
      <c r="B142" t="s">
        <v>942</v>
      </c>
      <c r="C142" t="s">
        <v>489</v>
      </c>
      <c r="D142" t="s">
        <v>490</v>
      </c>
      <c r="E142" t="s">
        <v>80</v>
      </c>
      <c r="F142" t="s">
        <v>943</v>
      </c>
      <c r="G142">
        <v>1</v>
      </c>
      <c r="H142">
        <v>10</v>
      </c>
      <c r="I142" t="s">
        <v>47</v>
      </c>
      <c r="K142" t="s">
        <v>64</v>
      </c>
      <c r="L142" t="s">
        <v>81</v>
      </c>
      <c r="M142" t="s">
        <v>944</v>
      </c>
      <c r="N142">
        <v>3203600</v>
      </c>
      <c r="O142" t="s">
        <v>492</v>
      </c>
      <c r="Q142" t="s">
        <v>945</v>
      </c>
      <c r="R142" t="s">
        <v>483</v>
      </c>
      <c r="S142" t="s">
        <v>50</v>
      </c>
      <c r="T142">
        <v>0</v>
      </c>
      <c r="U142">
        <v>0</v>
      </c>
      <c r="V142">
        <v>3203600</v>
      </c>
      <c r="W142" t="s">
        <v>492</v>
      </c>
      <c r="X142" t="s">
        <v>945</v>
      </c>
      <c r="Y142" t="s">
        <v>483</v>
      </c>
      <c r="Z142" t="s">
        <v>50</v>
      </c>
      <c r="AA142">
        <v>0</v>
      </c>
      <c r="AB142">
        <v>0</v>
      </c>
      <c r="AC142">
        <v>3304400</v>
      </c>
      <c r="AD142" t="s">
        <v>494</v>
      </c>
      <c r="AE142">
        <v>2</v>
      </c>
      <c r="AF142">
        <v>0</v>
      </c>
      <c r="AG142" t="s">
        <v>53</v>
      </c>
      <c r="AH142" t="s">
        <v>72</v>
      </c>
      <c r="AI142" t="s">
        <v>73</v>
      </c>
      <c r="AJ142" t="s">
        <v>74</v>
      </c>
      <c r="AK142" t="s">
        <v>485</v>
      </c>
      <c r="AL142">
        <v>0</v>
      </c>
      <c r="AM142">
        <v>0</v>
      </c>
      <c r="AN142" t="s">
        <v>50</v>
      </c>
      <c r="AO142" t="s">
        <v>483</v>
      </c>
      <c r="AP142" t="s">
        <v>492</v>
      </c>
      <c r="AQ142" t="s">
        <v>486</v>
      </c>
      <c r="AR142" t="s">
        <v>945</v>
      </c>
      <c r="AS142">
        <v>3203600</v>
      </c>
      <c r="AT142" t="s">
        <v>83</v>
      </c>
      <c r="AU142">
        <v>2</v>
      </c>
    </row>
    <row r="143" spans="1:47" x14ac:dyDescent="0.3">
      <c r="A143" t="s">
        <v>946</v>
      </c>
      <c r="B143" t="s">
        <v>947</v>
      </c>
      <c r="C143" t="s">
        <v>516</v>
      </c>
      <c r="D143" t="s">
        <v>517</v>
      </c>
      <c r="E143" t="s">
        <v>62</v>
      </c>
      <c r="F143" t="s">
        <v>943</v>
      </c>
      <c r="G143">
        <v>1</v>
      </c>
      <c r="H143">
        <v>10</v>
      </c>
      <c r="I143" t="s">
        <v>47</v>
      </c>
      <c r="K143" t="s">
        <v>64</v>
      </c>
      <c r="L143" t="s">
        <v>81</v>
      </c>
      <c r="M143" t="s">
        <v>944</v>
      </c>
      <c r="N143">
        <v>3480300</v>
      </c>
      <c r="O143" t="s">
        <v>518</v>
      </c>
      <c r="Q143" t="s">
        <v>948</v>
      </c>
      <c r="R143" t="s">
        <v>483</v>
      </c>
      <c r="S143" t="s">
        <v>50</v>
      </c>
      <c r="T143">
        <v>0</v>
      </c>
      <c r="U143">
        <v>0</v>
      </c>
      <c r="V143">
        <v>3480300</v>
      </c>
      <c r="W143" t="s">
        <v>518</v>
      </c>
      <c r="X143" t="s">
        <v>948</v>
      </c>
      <c r="Y143" t="s">
        <v>483</v>
      </c>
      <c r="Z143" t="s">
        <v>50</v>
      </c>
      <c r="AA143">
        <v>0</v>
      </c>
      <c r="AB143">
        <v>0</v>
      </c>
      <c r="AC143">
        <v>3589900</v>
      </c>
      <c r="AD143" t="s">
        <v>520</v>
      </c>
      <c r="AE143">
        <v>2</v>
      </c>
      <c r="AF143">
        <v>0</v>
      </c>
      <c r="AG143" t="s">
        <v>53</v>
      </c>
      <c r="AH143" t="s">
        <v>72</v>
      </c>
      <c r="AI143" t="s">
        <v>73</v>
      </c>
      <c r="AJ143" t="s">
        <v>74</v>
      </c>
      <c r="AK143" t="s">
        <v>485</v>
      </c>
      <c r="AL143">
        <v>0</v>
      </c>
      <c r="AM143">
        <v>0</v>
      </c>
      <c r="AN143" t="s">
        <v>50</v>
      </c>
      <c r="AO143" t="s">
        <v>483</v>
      </c>
      <c r="AP143" t="s">
        <v>518</v>
      </c>
      <c r="AQ143" t="s">
        <v>486</v>
      </c>
      <c r="AR143" t="s">
        <v>948</v>
      </c>
      <c r="AS143">
        <v>3480300</v>
      </c>
      <c r="AT143" t="s">
        <v>83</v>
      </c>
      <c r="AU143">
        <v>2</v>
      </c>
    </row>
    <row r="144" spans="1:47" x14ac:dyDescent="0.3">
      <c r="A144" t="s">
        <v>949</v>
      </c>
      <c r="B144" t="s">
        <v>950</v>
      </c>
      <c r="C144" t="s">
        <v>489</v>
      </c>
      <c r="D144" t="s">
        <v>490</v>
      </c>
      <c r="E144" t="s">
        <v>80</v>
      </c>
      <c r="F144" t="s">
        <v>458</v>
      </c>
      <c r="G144">
        <v>1</v>
      </c>
      <c r="H144">
        <v>10</v>
      </c>
      <c r="I144" t="s">
        <v>47</v>
      </c>
      <c r="K144" t="s">
        <v>64</v>
      </c>
      <c r="L144" t="s">
        <v>48</v>
      </c>
      <c r="M144" t="s">
        <v>459</v>
      </c>
      <c r="N144">
        <v>3203600</v>
      </c>
      <c r="O144" t="s">
        <v>492</v>
      </c>
      <c r="Q144" t="s">
        <v>951</v>
      </c>
      <c r="R144" t="s">
        <v>483</v>
      </c>
      <c r="S144" t="s">
        <v>50</v>
      </c>
      <c r="T144">
        <v>0</v>
      </c>
      <c r="U144">
        <v>0</v>
      </c>
      <c r="V144">
        <v>3203600</v>
      </c>
      <c r="W144" t="s">
        <v>492</v>
      </c>
      <c r="X144" t="s">
        <v>951</v>
      </c>
      <c r="Y144" t="s">
        <v>483</v>
      </c>
      <c r="Z144" t="s">
        <v>50</v>
      </c>
      <c r="AA144">
        <v>0</v>
      </c>
      <c r="AB144">
        <v>0</v>
      </c>
      <c r="AC144">
        <v>3304400</v>
      </c>
      <c r="AD144" t="s">
        <v>494</v>
      </c>
      <c r="AE144">
        <v>2</v>
      </c>
      <c r="AF144">
        <v>0</v>
      </c>
      <c r="AG144" t="s">
        <v>53</v>
      </c>
      <c r="AH144" t="s">
        <v>72</v>
      </c>
      <c r="AI144" t="s">
        <v>73</v>
      </c>
      <c r="AJ144" t="s">
        <v>74</v>
      </c>
      <c r="AK144" t="s">
        <v>485</v>
      </c>
      <c r="AL144">
        <v>0</v>
      </c>
      <c r="AM144">
        <v>0</v>
      </c>
      <c r="AN144" t="s">
        <v>50</v>
      </c>
      <c r="AO144" t="s">
        <v>483</v>
      </c>
      <c r="AP144" t="s">
        <v>492</v>
      </c>
      <c r="AQ144" t="s">
        <v>486</v>
      </c>
      <c r="AR144" t="s">
        <v>951</v>
      </c>
      <c r="AS144">
        <v>3203600</v>
      </c>
      <c r="AT144" t="s">
        <v>83</v>
      </c>
      <c r="AU144">
        <v>2</v>
      </c>
    </row>
    <row r="145" spans="1:47" x14ac:dyDescent="0.3">
      <c r="A145" t="s">
        <v>952</v>
      </c>
      <c r="B145" t="s">
        <v>953</v>
      </c>
      <c r="C145" t="s">
        <v>516</v>
      </c>
      <c r="D145" t="s">
        <v>517</v>
      </c>
      <c r="E145" t="s">
        <v>62</v>
      </c>
      <c r="F145" t="s">
        <v>458</v>
      </c>
      <c r="G145">
        <v>1</v>
      </c>
      <c r="H145">
        <v>10</v>
      </c>
      <c r="I145" t="s">
        <v>47</v>
      </c>
      <c r="K145" t="s">
        <v>64</v>
      </c>
      <c r="L145" t="s">
        <v>48</v>
      </c>
      <c r="M145" t="s">
        <v>459</v>
      </c>
      <c r="N145">
        <v>3480300</v>
      </c>
      <c r="O145" t="s">
        <v>518</v>
      </c>
      <c r="Q145" t="s">
        <v>954</v>
      </c>
      <c r="R145" t="s">
        <v>483</v>
      </c>
      <c r="S145" t="s">
        <v>50</v>
      </c>
      <c r="T145">
        <v>0</v>
      </c>
      <c r="U145">
        <v>0</v>
      </c>
      <c r="V145">
        <v>3480300</v>
      </c>
      <c r="W145" t="s">
        <v>518</v>
      </c>
      <c r="X145" t="s">
        <v>954</v>
      </c>
      <c r="Y145" t="s">
        <v>483</v>
      </c>
      <c r="Z145" t="s">
        <v>50</v>
      </c>
      <c r="AA145">
        <v>0</v>
      </c>
      <c r="AB145">
        <v>0</v>
      </c>
      <c r="AC145">
        <v>3589900</v>
      </c>
      <c r="AD145" t="s">
        <v>520</v>
      </c>
      <c r="AE145">
        <v>2</v>
      </c>
      <c r="AF145">
        <v>0</v>
      </c>
      <c r="AG145" t="s">
        <v>53</v>
      </c>
      <c r="AH145" t="s">
        <v>72</v>
      </c>
      <c r="AI145" t="s">
        <v>73</v>
      </c>
      <c r="AJ145" t="s">
        <v>74</v>
      </c>
      <c r="AK145" t="s">
        <v>485</v>
      </c>
      <c r="AL145">
        <v>0</v>
      </c>
      <c r="AM145">
        <v>0</v>
      </c>
      <c r="AN145" t="s">
        <v>50</v>
      </c>
      <c r="AO145" t="s">
        <v>483</v>
      </c>
      <c r="AP145" t="s">
        <v>518</v>
      </c>
      <c r="AQ145" t="s">
        <v>486</v>
      </c>
      <c r="AR145" t="s">
        <v>954</v>
      </c>
      <c r="AS145">
        <v>3480300</v>
      </c>
      <c r="AT145" t="s">
        <v>83</v>
      </c>
      <c r="AU145">
        <v>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955</v>
      </c>
      <c r="B1" s="1" t="s">
        <v>956</v>
      </c>
    </row>
    <row r="2" spans="1:2" x14ac:dyDescent="0.3">
      <c r="A2" t="s">
        <v>485</v>
      </c>
      <c r="B2">
        <v>144</v>
      </c>
    </row>
    <row r="3" spans="1:2" x14ac:dyDescent="0.3">
      <c r="A3" t="s">
        <v>56</v>
      </c>
      <c r="B3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4.4" x14ac:dyDescent="0.3"/>
  <sheetData>
    <row r="1" spans="1:2" x14ac:dyDescent="0.3">
      <c r="A1" s="1" t="s">
        <v>957</v>
      </c>
      <c r="B1" s="1" t="s">
        <v>956</v>
      </c>
    </row>
    <row r="2" spans="1:2" x14ac:dyDescent="0.3">
      <c r="A2" t="s">
        <v>73</v>
      </c>
      <c r="B2">
        <v>216</v>
      </c>
    </row>
    <row r="3" spans="1:2" x14ac:dyDescent="0.3">
      <c r="A3" t="s">
        <v>55</v>
      </c>
      <c r="B3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"/>
  <sheetViews>
    <sheetView workbookViewId="0"/>
  </sheetViews>
  <sheetFormatPr defaultRowHeight="14.4" x14ac:dyDescent="0.3"/>
  <cols>
    <col min="1" max="1" width="85.88671875" bestFit="1" customWidth="1"/>
  </cols>
  <sheetData>
    <row r="1" spans="1:2" x14ac:dyDescent="0.3">
      <c r="A1" s="1" t="s">
        <v>958</v>
      </c>
      <c r="B1" s="1" t="s">
        <v>956</v>
      </c>
    </row>
    <row r="2" spans="1:2" x14ac:dyDescent="0.3">
      <c r="A2" t="s">
        <v>480</v>
      </c>
      <c r="B2">
        <v>5</v>
      </c>
    </row>
    <row r="3" spans="1:2" x14ac:dyDescent="0.3">
      <c r="A3" t="s">
        <v>187</v>
      </c>
      <c r="B3">
        <v>11</v>
      </c>
    </row>
    <row r="4" spans="1:2" x14ac:dyDescent="0.3">
      <c r="A4" t="s">
        <v>241</v>
      </c>
      <c r="B4">
        <v>5</v>
      </c>
    </row>
    <row r="5" spans="1:2" x14ac:dyDescent="0.3">
      <c r="A5" t="s">
        <v>211</v>
      </c>
      <c r="B5">
        <v>4</v>
      </c>
    </row>
    <row r="6" spans="1:2" x14ac:dyDescent="0.3">
      <c r="A6" t="s">
        <v>898</v>
      </c>
      <c r="B6">
        <v>3</v>
      </c>
    </row>
    <row r="7" spans="1:2" x14ac:dyDescent="0.3">
      <c r="A7" t="s">
        <v>852</v>
      </c>
      <c r="B7">
        <v>6</v>
      </c>
    </row>
    <row r="8" spans="1:2" x14ac:dyDescent="0.3">
      <c r="A8" t="s">
        <v>909</v>
      </c>
      <c r="B8">
        <v>2</v>
      </c>
    </row>
    <row r="9" spans="1:2" x14ac:dyDescent="0.3">
      <c r="A9" t="s">
        <v>872</v>
      </c>
      <c r="B9">
        <v>7</v>
      </c>
    </row>
    <row r="10" spans="1:2" x14ac:dyDescent="0.3">
      <c r="A10" t="s">
        <v>434</v>
      </c>
      <c r="B10">
        <v>3</v>
      </c>
    </row>
    <row r="11" spans="1:2" x14ac:dyDescent="0.3">
      <c r="A11" t="s">
        <v>222</v>
      </c>
      <c r="B11">
        <v>4</v>
      </c>
    </row>
    <row r="12" spans="1:2" x14ac:dyDescent="0.3">
      <c r="A12" t="s">
        <v>458</v>
      </c>
      <c r="B12">
        <v>5</v>
      </c>
    </row>
    <row r="13" spans="1:2" x14ac:dyDescent="0.3">
      <c r="A13" t="s">
        <v>943</v>
      </c>
      <c r="B13">
        <v>2</v>
      </c>
    </row>
    <row r="14" spans="1:2" x14ac:dyDescent="0.3">
      <c r="A14" t="s">
        <v>414</v>
      </c>
      <c r="B14">
        <v>8</v>
      </c>
    </row>
    <row r="15" spans="1:2" x14ac:dyDescent="0.3">
      <c r="A15" t="s">
        <v>406</v>
      </c>
      <c r="B15">
        <v>3</v>
      </c>
    </row>
    <row r="16" spans="1:2" x14ac:dyDescent="0.3">
      <c r="A16" t="s">
        <v>935</v>
      </c>
      <c r="B16">
        <v>2</v>
      </c>
    </row>
    <row r="17" spans="1:2" x14ac:dyDescent="0.3">
      <c r="A17" t="s">
        <v>453</v>
      </c>
      <c r="B17">
        <v>3</v>
      </c>
    </row>
    <row r="18" spans="1:2" x14ac:dyDescent="0.3">
      <c r="A18" t="s">
        <v>259</v>
      </c>
      <c r="B18">
        <v>5</v>
      </c>
    </row>
    <row r="19" spans="1:2" x14ac:dyDescent="0.3">
      <c r="A19" t="s">
        <v>228</v>
      </c>
      <c r="B19">
        <v>5</v>
      </c>
    </row>
    <row r="20" spans="1:2" x14ac:dyDescent="0.3">
      <c r="A20" t="s">
        <v>249</v>
      </c>
      <c r="B20">
        <v>3</v>
      </c>
    </row>
    <row r="21" spans="1:2" x14ac:dyDescent="0.3">
      <c r="A21" t="s">
        <v>385</v>
      </c>
      <c r="B21">
        <v>3</v>
      </c>
    </row>
    <row r="22" spans="1:2" x14ac:dyDescent="0.3">
      <c r="A22" t="s">
        <v>350</v>
      </c>
      <c r="B22">
        <v>3</v>
      </c>
    </row>
    <row r="23" spans="1:2" x14ac:dyDescent="0.3">
      <c r="A23" t="s">
        <v>391</v>
      </c>
      <c r="B23">
        <v>3</v>
      </c>
    </row>
    <row r="24" spans="1:2" x14ac:dyDescent="0.3">
      <c r="A24" t="s">
        <v>360</v>
      </c>
      <c r="B24">
        <v>3</v>
      </c>
    </row>
    <row r="25" spans="1:2" x14ac:dyDescent="0.3">
      <c r="A25" t="s">
        <v>370</v>
      </c>
      <c r="B25">
        <v>9</v>
      </c>
    </row>
    <row r="26" spans="1:2" x14ac:dyDescent="0.3">
      <c r="A26" t="s">
        <v>334</v>
      </c>
      <c r="B26">
        <v>14</v>
      </c>
    </row>
    <row r="27" spans="1:2" x14ac:dyDescent="0.3">
      <c r="A27" t="s">
        <v>46</v>
      </c>
      <c r="B27">
        <v>12</v>
      </c>
    </row>
    <row r="28" spans="1:2" x14ac:dyDescent="0.3">
      <c r="A28" t="s">
        <v>297</v>
      </c>
      <c r="B28">
        <v>11</v>
      </c>
    </row>
    <row r="29" spans="1:2" x14ac:dyDescent="0.3">
      <c r="A29" t="s">
        <v>626</v>
      </c>
      <c r="B29">
        <v>3</v>
      </c>
    </row>
    <row r="30" spans="1:2" x14ac:dyDescent="0.3">
      <c r="A30" t="s">
        <v>688</v>
      </c>
      <c r="B30">
        <v>1</v>
      </c>
    </row>
    <row r="31" spans="1:2" x14ac:dyDescent="0.3">
      <c r="A31" t="s">
        <v>447</v>
      </c>
      <c r="B31">
        <v>5</v>
      </c>
    </row>
    <row r="32" spans="1:2" x14ac:dyDescent="0.3">
      <c r="A32" t="s">
        <v>328</v>
      </c>
      <c r="B32">
        <v>8</v>
      </c>
    </row>
    <row r="33" spans="1:2" x14ac:dyDescent="0.3">
      <c r="A33" t="s">
        <v>235</v>
      </c>
      <c r="B33">
        <v>4</v>
      </c>
    </row>
    <row r="34" spans="1:2" x14ac:dyDescent="0.3">
      <c r="A34" t="s">
        <v>270</v>
      </c>
      <c r="B34">
        <v>8</v>
      </c>
    </row>
    <row r="35" spans="1:2" x14ac:dyDescent="0.3">
      <c r="A35" t="s">
        <v>397</v>
      </c>
      <c r="B35">
        <v>2</v>
      </c>
    </row>
    <row r="36" spans="1:2" x14ac:dyDescent="0.3">
      <c r="A36" t="s">
        <v>168</v>
      </c>
      <c r="B36">
        <v>12</v>
      </c>
    </row>
    <row r="37" spans="1:2" x14ac:dyDescent="0.3">
      <c r="A37" t="s">
        <v>63</v>
      </c>
      <c r="B37">
        <v>6</v>
      </c>
    </row>
    <row r="38" spans="1:2" x14ac:dyDescent="0.3">
      <c r="A38" t="s">
        <v>162</v>
      </c>
      <c r="B38">
        <v>4</v>
      </c>
    </row>
    <row r="39" spans="1:2" x14ac:dyDescent="0.3">
      <c r="A39" t="s">
        <v>137</v>
      </c>
      <c r="B39">
        <v>9</v>
      </c>
    </row>
    <row r="40" spans="1:2" x14ac:dyDescent="0.3">
      <c r="A40" t="s">
        <v>99</v>
      </c>
      <c r="B40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PNS</vt:lpstr>
      <vt:lpstr>PNS DONE (2)</vt:lpstr>
      <vt:lpstr>Sheet4</vt:lpstr>
      <vt:lpstr>Sheet2</vt:lpstr>
      <vt:lpstr>PPPK DONE</vt:lpstr>
      <vt:lpstr>PNS DONE</vt:lpstr>
      <vt:lpstr>PPPK</vt:lpstr>
      <vt:lpstr>Summary_by_Status</vt:lpstr>
      <vt:lpstr>Summary_by_Pejabat</vt:lpstr>
      <vt:lpstr>Summary_by_Unit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Thariq Ramadhan Alchandra Yasrial</cp:lastModifiedBy>
  <dcterms:created xsi:type="dcterms:W3CDTF">2026-01-21T04:58:14Z</dcterms:created>
  <dcterms:modified xsi:type="dcterms:W3CDTF">2026-02-12T03:00:37Z</dcterms:modified>
</cp:coreProperties>
</file>